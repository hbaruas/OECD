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urabhkumar/Desktop/OECD_PYSPARK_LOCAL/data/"/>
    </mc:Choice>
  </mc:AlternateContent>
  <xr:revisionPtr revIDLastSave="0" documentId="13_ncr:1_{3F934F35-6272-2348-93AA-9DB1A205A8E2}" xr6:coauthVersionLast="47" xr6:coauthVersionMax="47" xr10:uidLastSave="{00000000-0000-0000-0000-000000000000}"/>
  <bookViews>
    <workbookView xWindow="780" yWindow="1100" windowWidth="27640" windowHeight="16160" xr2:uid="{D7A21E97-0CEB-3A4F-A05B-90E4F34D4E4E}"/>
  </bookViews>
  <sheets>
    <sheet name="Table 2 - Int Con 2023" sheetId="2" r:id="rId1"/>
    <sheet name="Supply use table Original" sheetId="3" r:id="rId2"/>
    <sheet name="Content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G98" i="2"/>
  <c r="G94" i="2"/>
  <c r="G80" i="2"/>
  <c r="G77" i="2"/>
  <c r="G74" i="2"/>
  <c r="G69" i="2"/>
  <c r="G58" i="2"/>
  <c r="G57" i="2"/>
  <c r="G5" i="2"/>
  <c r="G2" i="2"/>
  <c r="E7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3" i="2"/>
  <c r="E4" i="2"/>
  <c r="E5" i="2"/>
  <c r="E6" i="2"/>
  <c r="E7" i="2"/>
  <c r="E8" i="2"/>
  <c r="E2" i="2"/>
</calcChain>
</file>

<file path=xl/sharedStrings.xml><?xml version="1.0" encoding="utf-8"?>
<sst xmlns="http://schemas.openxmlformats.org/spreadsheetml/2006/main" count="7546" uniqueCount="1542">
  <si>
    <t>Industries' intermediate consumption in 2023                                                                                 The 'Combined Use' matrix</t>
  </si>
  <si>
    <t>Contents</t>
  </si>
  <si>
    <t>£ million</t>
  </si>
  <si>
    <t>Industries' intermediate consumption</t>
  </si>
  <si>
    <t>A01</t>
  </si>
  <si>
    <t>A02</t>
  </si>
  <si>
    <t>A03</t>
  </si>
  <si>
    <t>B05</t>
  </si>
  <si>
    <t>B06 &amp; B07</t>
  </si>
  <si>
    <t>B08</t>
  </si>
  <si>
    <t>B09</t>
  </si>
  <si>
    <t>C101</t>
  </si>
  <si>
    <t>C102_3</t>
  </si>
  <si>
    <t>C104</t>
  </si>
  <si>
    <t>C105</t>
  </si>
  <si>
    <t>C106</t>
  </si>
  <si>
    <t>C107</t>
  </si>
  <si>
    <t>C108</t>
  </si>
  <si>
    <t>C109</t>
  </si>
  <si>
    <t>C1101T1106 &amp; C12</t>
  </si>
  <si>
    <t>C1107</t>
  </si>
  <si>
    <t>C13</t>
  </si>
  <si>
    <t>C14</t>
  </si>
  <si>
    <t>C15</t>
  </si>
  <si>
    <t>C16</t>
  </si>
  <si>
    <t>C17</t>
  </si>
  <si>
    <t>C18</t>
  </si>
  <si>
    <t>C19</t>
  </si>
  <si>
    <t>C203</t>
  </si>
  <si>
    <t>C204</t>
  </si>
  <si>
    <t>C205</t>
  </si>
  <si>
    <t>C20A</t>
  </si>
  <si>
    <t>C20B</t>
  </si>
  <si>
    <t>C20C</t>
  </si>
  <si>
    <t>C21</t>
  </si>
  <si>
    <t>C22</t>
  </si>
  <si>
    <t>C235_6</t>
  </si>
  <si>
    <t>C23OTHER</t>
  </si>
  <si>
    <t>C241T243</t>
  </si>
  <si>
    <t>C244_5</t>
  </si>
  <si>
    <t>C25</t>
  </si>
  <si>
    <t>C26</t>
  </si>
  <si>
    <t>C27</t>
  </si>
  <si>
    <t>C28</t>
  </si>
  <si>
    <t>C29</t>
  </si>
  <si>
    <t>C301</t>
  </si>
  <si>
    <t>C303</t>
  </si>
  <si>
    <t>C30OTHER</t>
  </si>
  <si>
    <t>C31</t>
  </si>
  <si>
    <t>C32</t>
  </si>
  <si>
    <t>C3315</t>
  </si>
  <si>
    <t>C3316</t>
  </si>
  <si>
    <t>C33OTHER</t>
  </si>
  <si>
    <t>D351</t>
  </si>
  <si>
    <t>D352_3</t>
  </si>
  <si>
    <t>E36</t>
  </si>
  <si>
    <t>E37</t>
  </si>
  <si>
    <t>E38</t>
  </si>
  <si>
    <t>E39</t>
  </si>
  <si>
    <t>F41, F42  &amp; F43</t>
  </si>
  <si>
    <t>G45</t>
  </si>
  <si>
    <t>G46</t>
  </si>
  <si>
    <t>G47</t>
  </si>
  <si>
    <t>H491_2</t>
  </si>
  <si>
    <t>H493T495</t>
  </si>
  <si>
    <t>H50</t>
  </si>
  <si>
    <t>H51</t>
  </si>
  <si>
    <t>H52</t>
  </si>
  <si>
    <t>H53</t>
  </si>
  <si>
    <t>I55</t>
  </si>
  <si>
    <t>I56</t>
  </si>
  <si>
    <t>J58</t>
  </si>
  <si>
    <t>J59 &amp; J60</t>
  </si>
  <si>
    <t>J61</t>
  </si>
  <si>
    <t>J62</t>
  </si>
  <si>
    <t>J63</t>
  </si>
  <si>
    <t>K64</t>
  </si>
  <si>
    <t>K65.1-2 &amp; K65.3</t>
  </si>
  <si>
    <t>K66</t>
  </si>
  <si>
    <t>L68BXL683</t>
  </si>
  <si>
    <t>L68A</t>
  </si>
  <si>
    <t>L683</t>
  </si>
  <si>
    <t>M691</t>
  </si>
  <si>
    <t>M692</t>
  </si>
  <si>
    <t>M70</t>
  </si>
  <si>
    <t>M71</t>
  </si>
  <si>
    <t>M72</t>
  </si>
  <si>
    <t>M73</t>
  </si>
  <si>
    <t>M74</t>
  </si>
  <si>
    <t>M75</t>
  </si>
  <si>
    <t>N77</t>
  </si>
  <si>
    <t>N78</t>
  </si>
  <si>
    <t>N79</t>
  </si>
  <si>
    <t>N80</t>
  </si>
  <si>
    <t>N81</t>
  </si>
  <si>
    <t>N82</t>
  </si>
  <si>
    <t>O84</t>
  </si>
  <si>
    <t>P85</t>
  </si>
  <si>
    <t>Q86</t>
  </si>
  <si>
    <t>Q87 &amp; Q88</t>
  </si>
  <si>
    <t>R90</t>
  </si>
  <si>
    <t>R91</t>
  </si>
  <si>
    <t>R92</t>
  </si>
  <si>
    <t>R93</t>
  </si>
  <si>
    <t>S94</t>
  </si>
  <si>
    <t>S95</t>
  </si>
  <si>
    <t>S96</t>
  </si>
  <si>
    <t>T97</t>
  </si>
  <si>
    <t>Product</t>
  </si>
  <si>
    <t>Construction</t>
  </si>
  <si>
    <t>Motion Picture, Video &amp; TV Programme Production, Sound Recording &amp; Music Publishing Activities &amp; Programming And Broadcasting Activities</t>
  </si>
  <si>
    <t>Insurance, reinsurance and pension funding services, except compulsory social security</t>
  </si>
  <si>
    <t>Residential Care  &amp; Social Work Activities</t>
  </si>
  <si>
    <t>Total
intermediate
demand</t>
  </si>
  <si>
    <t>CPA_A01</t>
  </si>
  <si>
    <t xml:space="preserve">Products of agriculture, hunting and related services         </t>
  </si>
  <si>
    <t>CPA_A02</t>
  </si>
  <si>
    <t xml:space="preserve">Products of forestry, logging and related services         </t>
  </si>
  <si>
    <t>CPA_A03</t>
  </si>
  <si>
    <t xml:space="preserve">Fish and other fishing products; aquaculture products; support services to fishing     </t>
  </si>
  <si>
    <t>CPA_B05</t>
  </si>
  <si>
    <t xml:space="preserve">Coal and lignite             </t>
  </si>
  <si>
    <t>CPA_B06 &amp; B07</t>
  </si>
  <si>
    <t>Crude Petroleum And Natural Gas &amp; Metal Ores</t>
  </si>
  <si>
    <t>CPA_B08</t>
  </si>
  <si>
    <t xml:space="preserve">Other mining and quarrying products           </t>
  </si>
  <si>
    <t>CPA_B09</t>
  </si>
  <si>
    <t xml:space="preserve">Mining support services             </t>
  </si>
  <si>
    <t>CPA_C101</t>
  </si>
  <si>
    <t xml:space="preserve">Preserved meat and meat products           </t>
  </si>
  <si>
    <t>CPA_C102_3</t>
  </si>
  <si>
    <t xml:space="preserve">Processed and preserved fish, crustaceans, molluscs, fruit and vegetables       </t>
  </si>
  <si>
    <t>CPA_C104</t>
  </si>
  <si>
    <t xml:space="preserve">Vegetable and animal oils and fats          </t>
  </si>
  <si>
    <t>CPA_C105</t>
  </si>
  <si>
    <t xml:space="preserve">Dairy products              </t>
  </si>
  <si>
    <t>CPA_C106</t>
  </si>
  <si>
    <t xml:space="preserve">Grain mill products, starches and starch products         </t>
  </si>
  <si>
    <t>CPA_C107</t>
  </si>
  <si>
    <t xml:space="preserve">Bakery and farinaceous products            </t>
  </si>
  <si>
    <t>CPA_C108</t>
  </si>
  <si>
    <t xml:space="preserve">Other food products             </t>
  </si>
  <si>
    <t>CPA_C109</t>
  </si>
  <si>
    <t xml:space="preserve">Prepared animal feeds             </t>
  </si>
  <si>
    <t>CPA_C11.01-6 &amp; C12</t>
  </si>
  <si>
    <t>Alcoholic beverages  &amp; Tobacco products</t>
  </si>
  <si>
    <t>CPA_C1107</t>
  </si>
  <si>
    <t xml:space="preserve">Soft drinks              </t>
  </si>
  <si>
    <t>CPA_C13</t>
  </si>
  <si>
    <t xml:space="preserve">Textiles               </t>
  </si>
  <si>
    <t>CPA_C14</t>
  </si>
  <si>
    <t xml:space="preserve">Wearing apparel              </t>
  </si>
  <si>
    <t>CPA_C15</t>
  </si>
  <si>
    <t xml:space="preserve">Leather and related products            </t>
  </si>
  <si>
    <t>CPA_C16</t>
  </si>
  <si>
    <t>Wood and of products of wood and cork, except furniture; articles of straw and plaiting materials</t>
  </si>
  <si>
    <t>CPA_C17</t>
  </si>
  <si>
    <t xml:space="preserve">Paper and paper products            </t>
  </si>
  <si>
    <t>CPA_C18</t>
  </si>
  <si>
    <t xml:space="preserve">Printing and recording services            </t>
  </si>
  <si>
    <t>CPA_C19</t>
  </si>
  <si>
    <t xml:space="preserve">Coke and refined petroleum products           </t>
  </si>
  <si>
    <t>CPA_C203</t>
  </si>
  <si>
    <t xml:space="preserve">Paints, varnishes and similar coatings, printing ink and mastics       </t>
  </si>
  <si>
    <t>CPA_C204</t>
  </si>
  <si>
    <t xml:space="preserve">Soap and detergents, cleaning and polishing preparations, perfumes and toilet preparations     </t>
  </si>
  <si>
    <t>CPA_C205</t>
  </si>
  <si>
    <t xml:space="preserve">Other chemical products             </t>
  </si>
  <si>
    <t>CPA_C20A</t>
  </si>
  <si>
    <t xml:space="preserve">Industrial gases, inorganics and fertilisers (all inorganic chemicals) - 20.11/13/15      </t>
  </si>
  <si>
    <t>CPA_C20B</t>
  </si>
  <si>
    <t xml:space="preserve">Petrochemicals - 20.14/16/17/60             </t>
  </si>
  <si>
    <t>CPA_C20C</t>
  </si>
  <si>
    <t xml:space="preserve">Dyestuffs, agro-chemicals - 20.12/20            </t>
  </si>
  <si>
    <t>CPA_C21</t>
  </si>
  <si>
    <t xml:space="preserve">Basic pharmaceutical products and pharmaceutical preparations          </t>
  </si>
  <si>
    <t>CPA_C22</t>
  </si>
  <si>
    <t xml:space="preserve">Rubber and plastic products            </t>
  </si>
  <si>
    <t>CPA_C235_6</t>
  </si>
  <si>
    <t xml:space="preserve">Manufacture of cement, lime, plaster and articles of concrete, cement and plaster </t>
  </si>
  <si>
    <t>CPA_C23OTHER</t>
  </si>
  <si>
    <t>Glass, refractory, clay, other porcelain and ceramic, stone and abrasive products - 23.1-4/7-9</t>
  </si>
  <si>
    <t>CPA_C241_3</t>
  </si>
  <si>
    <t xml:space="preserve">Basic iron and steel            </t>
  </si>
  <si>
    <t>CPA_C244_5</t>
  </si>
  <si>
    <t xml:space="preserve">Other basic metals and casting           </t>
  </si>
  <si>
    <t>CPA_C25</t>
  </si>
  <si>
    <t>Fabricated metal products</t>
  </si>
  <si>
    <t>CPA_C26</t>
  </si>
  <si>
    <t xml:space="preserve">Computer, electronic and optical products           </t>
  </si>
  <si>
    <t>CPA_C27</t>
  </si>
  <si>
    <t xml:space="preserve">Electrical equipment              </t>
  </si>
  <si>
    <t>CPA_C28</t>
  </si>
  <si>
    <t xml:space="preserve">Machinery and equipment n.e.c.            </t>
  </si>
  <si>
    <t>CPA_C29</t>
  </si>
  <si>
    <t xml:space="preserve">Motor vehicles, trailers and semi-trailers      </t>
  </si>
  <si>
    <t>CPA_C301</t>
  </si>
  <si>
    <t xml:space="preserve">Ships and boats             </t>
  </si>
  <si>
    <t>CPA_C303</t>
  </si>
  <si>
    <t xml:space="preserve">Air and spacecraft and related machinery          </t>
  </si>
  <si>
    <t>CPA_C30OTHER</t>
  </si>
  <si>
    <t xml:space="preserve">Other transport equipment - 30.2/4/9           </t>
  </si>
  <si>
    <t>CPA_C31</t>
  </si>
  <si>
    <t xml:space="preserve">Furniture               </t>
  </si>
  <si>
    <t>CPA_C32</t>
  </si>
  <si>
    <t xml:space="preserve">Other manufactured goods             </t>
  </si>
  <si>
    <t>CPA_C3315</t>
  </si>
  <si>
    <t xml:space="preserve">Repair and maintenance of ships and boats         </t>
  </si>
  <si>
    <t>CPA_C3316</t>
  </si>
  <si>
    <t xml:space="preserve">Repair and maintenance of aircraft and spacecraft         </t>
  </si>
  <si>
    <t>CPA_C33OTHER</t>
  </si>
  <si>
    <t xml:space="preserve">Rest of repair; Installation - 33.11-14/17/19/20          </t>
  </si>
  <si>
    <t>CPA_D351</t>
  </si>
  <si>
    <t>Electricity, transmission and distribution</t>
  </si>
  <si>
    <t>CPA_D352_3</t>
  </si>
  <si>
    <t xml:space="preserve">Gas; distribution of gaseous fuels through mains; steam and air conditioning supply    </t>
  </si>
  <si>
    <t>CPA_E36</t>
  </si>
  <si>
    <t xml:space="preserve">Natural water; water treatment and supply services         </t>
  </si>
  <si>
    <t>CPA_E37</t>
  </si>
  <si>
    <t xml:space="preserve">Sewerage services; sewage sludge            </t>
  </si>
  <si>
    <t>CPA_E38</t>
  </si>
  <si>
    <t xml:space="preserve">Waste collection, treatment and disposal services; materials recovery services       </t>
  </si>
  <si>
    <t>CPA_E39</t>
  </si>
  <si>
    <t xml:space="preserve">Remediation services and other waste management services         </t>
  </si>
  <si>
    <t>CPA_F41, F42 &amp; F43</t>
  </si>
  <si>
    <t>CPA_G45</t>
  </si>
  <si>
    <t xml:space="preserve">Wholesale and retail trade and repair services of motor vehicles and motorcycles    </t>
  </si>
  <si>
    <t>CPA_G46</t>
  </si>
  <si>
    <t xml:space="preserve">Wholesale trade services, except of motor vehicles and motorcycles       </t>
  </si>
  <si>
    <t>CPA_G47</t>
  </si>
  <si>
    <t xml:space="preserve">Retail trade services, except of motor vehicles and motorcycles       </t>
  </si>
  <si>
    <t>CPA_H491_2</t>
  </si>
  <si>
    <t xml:space="preserve">Rail transport services             </t>
  </si>
  <si>
    <t>CPA_H493_5</t>
  </si>
  <si>
    <t xml:space="preserve">Land transport services and transport services via pipelines, excluding rail transport     </t>
  </si>
  <si>
    <t>CPA_H50</t>
  </si>
  <si>
    <t xml:space="preserve">Water transport services             </t>
  </si>
  <si>
    <t>CPA_H51</t>
  </si>
  <si>
    <t xml:space="preserve">Air transport services             </t>
  </si>
  <si>
    <t>CPA_H52</t>
  </si>
  <si>
    <t xml:space="preserve">Warehousing and support services for transportation          </t>
  </si>
  <si>
    <t>CPA_H53</t>
  </si>
  <si>
    <t xml:space="preserve">Postal and courier services            </t>
  </si>
  <si>
    <t>CPA_I55</t>
  </si>
  <si>
    <t xml:space="preserve">Accommodation services              </t>
  </si>
  <si>
    <t>CPA_I56</t>
  </si>
  <si>
    <t xml:space="preserve">Food and beverage serving services           </t>
  </si>
  <si>
    <t>CPA_J58</t>
  </si>
  <si>
    <t xml:space="preserve">Publishing services              </t>
  </si>
  <si>
    <t>CPA_J59 &amp; J60</t>
  </si>
  <si>
    <t>CPA_J61</t>
  </si>
  <si>
    <t xml:space="preserve">Telecommunications services              </t>
  </si>
  <si>
    <t>CPA_J62</t>
  </si>
  <si>
    <t xml:space="preserve">Computer programming, consultancy and related services          </t>
  </si>
  <si>
    <t>CPA_J63</t>
  </si>
  <si>
    <t xml:space="preserve">Information services              </t>
  </si>
  <si>
    <t>CPA_K64</t>
  </si>
  <si>
    <t xml:space="preserve">Financial services, except insurance and pension funding         </t>
  </si>
  <si>
    <t>CPA_K65.1-2 &amp; K65.3</t>
  </si>
  <si>
    <t>CPA_K66</t>
  </si>
  <si>
    <t xml:space="preserve">Services auxiliary to financial services and insurance services        </t>
  </si>
  <si>
    <t>CPA_L68BXL683</t>
  </si>
  <si>
    <t>Real estate services, excluding on a fee or contract basis and excluding imputed rent</t>
  </si>
  <si>
    <t>CPA_L68A</t>
  </si>
  <si>
    <t>Imputed rents of owner-occupied dwellings</t>
  </si>
  <si>
    <t>CPA_L683</t>
  </si>
  <si>
    <t xml:space="preserve">Real estate activities on a fee or contract basis       </t>
  </si>
  <si>
    <t>CPA_M691</t>
  </si>
  <si>
    <t xml:space="preserve">Legal services              </t>
  </si>
  <si>
    <t>CPA_M692</t>
  </si>
  <si>
    <t xml:space="preserve">Accounting, bookkeeping and auditing services; tax consulting services        </t>
  </si>
  <si>
    <t>CPA_M70</t>
  </si>
  <si>
    <t xml:space="preserve">Services of head offices; management consulting services         </t>
  </si>
  <si>
    <t>CPA_M71</t>
  </si>
  <si>
    <t xml:space="preserve">Architectural and engineering services; technical testing and analysis services       </t>
  </si>
  <si>
    <t>CPA_M72</t>
  </si>
  <si>
    <t xml:space="preserve">Scientific research and development services           </t>
  </si>
  <si>
    <t>CPA_M73</t>
  </si>
  <si>
    <t xml:space="preserve">Advertising and market research services           </t>
  </si>
  <si>
    <t>CPA_M74</t>
  </si>
  <si>
    <t xml:space="preserve">Other professional, scientific and technical services          </t>
  </si>
  <si>
    <t>CPA_M75</t>
  </si>
  <si>
    <t xml:space="preserve">Veterinary services              </t>
  </si>
  <si>
    <t>CPA_N77</t>
  </si>
  <si>
    <t xml:space="preserve">Rental and leasing services            </t>
  </si>
  <si>
    <t>CPA_N78</t>
  </si>
  <si>
    <t xml:space="preserve">Employment services              </t>
  </si>
  <si>
    <t>CPA_N79</t>
  </si>
  <si>
    <t xml:space="preserve">Travel agency, tour operator and other reservation services and related services     </t>
  </si>
  <si>
    <t>CPA_N80</t>
  </si>
  <si>
    <t xml:space="preserve">Security and investigation services            </t>
  </si>
  <si>
    <t>CPA_N81</t>
  </si>
  <si>
    <t xml:space="preserve">Services to buildings and landscape           </t>
  </si>
  <si>
    <t>CPA_N82</t>
  </si>
  <si>
    <t xml:space="preserve">Office administrative, office support and other business support services       </t>
  </si>
  <si>
    <t>CPA_O84</t>
  </si>
  <si>
    <t xml:space="preserve">Public administration and defence services; compulsory social security services       </t>
  </si>
  <si>
    <t>CPA_P85</t>
  </si>
  <si>
    <t xml:space="preserve">Education services              </t>
  </si>
  <si>
    <t>CPA_Q86</t>
  </si>
  <si>
    <t xml:space="preserve">Human health services             </t>
  </si>
  <si>
    <t>CPA_Q87 &amp; Q88</t>
  </si>
  <si>
    <t>CPA_R90</t>
  </si>
  <si>
    <t xml:space="preserve">Creative, arts and entertainment services           </t>
  </si>
  <si>
    <t>CPA_R91</t>
  </si>
  <si>
    <t xml:space="preserve">Libraries, archives, museums and other cultural services         </t>
  </si>
  <si>
    <t>CPA_R92</t>
  </si>
  <si>
    <t xml:space="preserve">Gambling and betting services            </t>
  </si>
  <si>
    <t>CPA_R93</t>
  </si>
  <si>
    <t xml:space="preserve">Sports services and amusement and recreation services         </t>
  </si>
  <si>
    <t>CPA_S94</t>
  </si>
  <si>
    <t xml:space="preserve">Services furnished by membership organisations           </t>
  </si>
  <si>
    <t>CPA_S95</t>
  </si>
  <si>
    <t xml:space="preserve">Repair services of computers and personal and household goods       </t>
  </si>
  <si>
    <t>CPA_S96</t>
  </si>
  <si>
    <t xml:space="preserve">Other personal services             </t>
  </si>
  <si>
    <t>CPA_T97</t>
  </si>
  <si>
    <t xml:space="preserve">Services of households as employers of domestic personnel        </t>
  </si>
  <si>
    <t>Total intermediate consumption at purchasers' prices</t>
  </si>
  <si>
    <t>Taxes less subsidies on production</t>
  </si>
  <si>
    <t>Compensation of employees</t>
  </si>
  <si>
    <t>Gross operating surplus and mixed income</t>
  </si>
  <si>
    <t>Gross valued added at basic prices</t>
  </si>
  <si>
    <t>Total output at basic prices</t>
  </si>
  <si>
    <t>SIC_CODE</t>
  </si>
  <si>
    <t>Alpha_for_individual</t>
  </si>
  <si>
    <t>Alpha_for_group</t>
  </si>
  <si>
    <t>Group</t>
  </si>
  <si>
    <t>A</t>
  </si>
  <si>
    <t>B-E</t>
  </si>
  <si>
    <t xml:space="preserve">F </t>
  </si>
  <si>
    <t>G-I</t>
  </si>
  <si>
    <t>J</t>
  </si>
  <si>
    <t xml:space="preserve">K </t>
  </si>
  <si>
    <t>L</t>
  </si>
  <si>
    <t>M-N</t>
  </si>
  <si>
    <t>O-Q</t>
  </si>
  <si>
    <t>R-T</t>
  </si>
  <si>
    <t xml:space="preserve">A01 </t>
  </si>
  <si>
    <t xml:space="preserve">A02 </t>
  </si>
  <si>
    <t xml:space="preserve">A03 </t>
  </si>
  <si>
    <t xml:space="preserve">B05 </t>
  </si>
  <si>
    <t xml:space="preserve">B06 &amp; B07 </t>
  </si>
  <si>
    <t xml:space="preserve">B08 </t>
  </si>
  <si>
    <t xml:space="preserve">B09 </t>
  </si>
  <si>
    <t xml:space="preserve">C101 </t>
  </si>
  <si>
    <t xml:space="preserve">C102_3 </t>
  </si>
  <si>
    <t xml:space="preserve">C104 </t>
  </si>
  <si>
    <t xml:space="preserve">C105 </t>
  </si>
  <si>
    <t xml:space="preserve">C106 </t>
  </si>
  <si>
    <t xml:space="preserve">C107 </t>
  </si>
  <si>
    <t xml:space="preserve">C108 </t>
  </si>
  <si>
    <t xml:space="preserve">C109 </t>
  </si>
  <si>
    <t xml:space="preserve">C1101T1106 &amp; C12 </t>
  </si>
  <si>
    <t xml:space="preserve">C1107 </t>
  </si>
  <si>
    <t xml:space="preserve">C13 </t>
  </si>
  <si>
    <t xml:space="preserve">C14 </t>
  </si>
  <si>
    <t xml:space="preserve">C15 </t>
  </si>
  <si>
    <t xml:space="preserve">C16 </t>
  </si>
  <si>
    <t xml:space="preserve">C17 </t>
  </si>
  <si>
    <t xml:space="preserve">C18 </t>
  </si>
  <si>
    <t xml:space="preserve">C19 </t>
  </si>
  <si>
    <t xml:space="preserve">C203 </t>
  </si>
  <si>
    <t xml:space="preserve">C204 </t>
  </si>
  <si>
    <t xml:space="preserve">C205 </t>
  </si>
  <si>
    <t xml:space="preserve">C20A </t>
  </si>
  <si>
    <t xml:space="preserve">C20B </t>
  </si>
  <si>
    <t xml:space="preserve">C20C </t>
  </si>
  <si>
    <t xml:space="preserve">C21 </t>
  </si>
  <si>
    <t xml:space="preserve">C22 </t>
  </si>
  <si>
    <t xml:space="preserve">C235_6 </t>
  </si>
  <si>
    <t xml:space="preserve">C23OTHER </t>
  </si>
  <si>
    <t xml:space="preserve">C241T243 </t>
  </si>
  <si>
    <t xml:space="preserve">C244_5 </t>
  </si>
  <si>
    <t xml:space="preserve">C25 </t>
  </si>
  <si>
    <t xml:space="preserve">C26 </t>
  </si>
  <si>
    <t xml:space="preserve">C27 </t>
  </si>
  <si>
    <t xml:space="preserve">C28 </t>
  </si>
  <si>
    <t xml:space="preserve">C29 </t>
  </si>
  <si>
    <t xml:space="preserve">C301 </t>
  </si>
  <si>
    <t xml:space="preserve">C303 </t>
  </si>
  <si>
    <t xml:space="preserve">C30OTHER </t>
  </si>
  <si>
    <t xml:space="preserve">C31 </t>
  </si>
  <si>
    <t xml:space="preserve">C32 </t>
  </si>
  <si>
    <t xml:space="preserve">C3315 </t>
  </si>
  <si>
    <t xml:space="preserve">C3316 </t>
  </si>
  <si>
    <t xml:space="preserve">C33OTHER </t>
  </si>
  <si>
    <t xml:space="preserve">D351 </t>
  </si>
  <si>
    <t xml:space="preserve">D352_3 </t>
  </si>
  <si>
    <t xml:space="preserve">E36 </t>
  </si>
  <si>
    <t xml:space="preserve">E37 </t>
  </si>
  <si>
    <t xml:space="preserve">E38 </t>
  </si>
  <si>
    <t xml:space="preserve">E39 </t>
  </si>
  <si>
    <t xml:space="preserve">F41, F42  &amp; F43 </t>
  </si>
  <si>
    <t xml:space="preserve">G45 </t>
  </si>
  <si>
    <t xml:space="preserve">G46 </t>
  </si>
  <si>
    <t xml:space="preserve">G47 </t>
  </si>
  <si>
    <t xml:space="preserve">H491_2 </t>
  </si>
  <si>
    <t xml:space="preserve">H493T495 </t>
  </si>
  <si>
    <t xml:space="preserve">H50 </t>
  </si>
  <si>
    <t xml:space="preserve">H51 </t>
  </si>
  <si>
    <t xml:space="preserve">H52 </t>
  </si>
  <si>
    <t xml:space="preserve">H53 </t>
  </si>
  <si>
    <t xml:space="preserve">I55 </t>
  </si>
  <si>
    <t xml:space="preserve">I56 </t>
  </si>
  <si>
    <t xml:space="preserve">J58 </t>
  </si>
  <si>
    <t xml:space="preserve">J59 &amp; J60 </t>
  </si>
  <si>
    <t xml:space="preserve">J61 </t>
  </si>
  <si>
    <t xml:space="preserve">J62 </t>
  </si>
  <si>
    <t xml:space="preserve">J63 </t>
  </si>
  <si>
    <t xml:space="preserve">K64 </t>
  </si>
  <si>
    <t xml:space="preserve">K66 </t>
  </si>
  <si>
    <t xml:space="preserve">L68BXL683 </t>
  </si>
  <si>
    <t xml:space="preserve">L68A </t>
  </si>
  <si>
    <t xml:space="preserve">L683 </t>
  </si>
  <si>
    <t xml:space="preserve">M691 </t>
  </si>
  <si>
    <t xml:space="preserve">M692 </t>
  </si>
  <si>
    <t xml:space="preserve">M70 </t>
  </si>
  <si>
    <t xml:space="preserve">M71 </t>
  </si>
  <si>
    <t xml:space="preserve">M72 </t>
  </si>
  <si>
    <t xml:space="preserve">M73 </t>
  </si>
  <si>
    <t xml:space="preserve">M74 </t>
  </si>
  <si>
    <t xml:space="preserve">M75 </t>
  </si>
  <si>
    <t xml:space="preserve">N77 </t>
  </si>
  <si>
    <t xml:space="preserve">N78 </t>
  </si>
  <si>
    <t xml:space="preserve">N79 </t>
  </si>
  <si>
    <t xml:space="preserve">N80 </t>
  </si>
  <si>
    <t xml:space="preserve">N81 </t>
  </si>
  <si>
    <t xml:space="preserve">N82 </t>
  </si>
  <si>
    <t xml:space="preserve">O84 </t>
  </si>
  <si>
    <t xml:space="preserve">P85 </t>
  </si>
  <si>
    <t xml:space="preserve">Q86 </t>
  </si>
  <si>
    <t xml:space="preserve">Q87 &amp; Q88 </t>
  </si>
  <si>
    <t xml:space="preserve">R90 </t>
  </si>
  <si>
    <t xml:space="preserve">R91 </t>
  </si>
  <si>
    <t xml:space="preserve">R92 </t>
  </si>
  <si>
    <t xml:space="preserve">R93 </t>
  </si>
  <si>
    <t xml:space="preserve">S94 </t>
  </si>
  <si>
    <t xml:space="preserve">S95 </t>
  </si>
  <si>
    <t xml:space="preserve">S96 </t>
  </si>
  <si>
    <t xml:space="preserve">T97 </t>
  </si>
  <si>
    <t xml:space="preserve">Crop And Animal Production, Hunting And Related Service Activities   </t>
  </si>
  <si>
    <t xml:space="preserve">Forestry And Logging   </t>
  </si>
  <si>
    <t xml:space="preserve">Fishing And Aquaculture   </t>
  </si>
  <si>
    <t xml:space="preserve">Mining Of Coal And Lignite   </t>
  </si>
  <si>
    <t xml:space="preserve">Extraction Of Crude Petroleum And Natural Gas  &amp; Mining Of Metal Ores </t>
  </si>
  <si>
    <t xml:space="preserve">Other Mining And Quarrying   </t>
  </si>
  <si>
    <t xml:space="preserve">Mining Support Service Activities   </t>
  </si>
  <si>
    <t xml:space="preserve">Processing and preserving of meat and production of meat products </t>
  </si>
  <si>
    <t xml:space="preserve">Processing and preserving of fish, crustaceans, molluscs, fruit and vegetables </t>
  </si>
  <si>
    <t xml:space="preserve">Manufacture of vegetable and animal oils and fats </t>
  </si>
  <si>
    <t xml:space="preserve">Manufacture of dairy products </t>
  </si>
  <si>
    <t xml:space="preserve">Manufacture of grain mill products, starches and starch products </t>
  </si>
  <si>
    <t xml:space="preserve">Manufacture of bakery and farinaceous products </t>
  </si>
  <si>
    <t xml:space="preserve">Manufacture of other food products </t>
  </si>
  <si>
    <t xml:space="preserve">Manufacture of prepared animal feeds </t>
  </si>
  <si>
    <t xml:space="preserve">Manufacture of alcoholic beverages  &amp; Tobacco Products </t>
  </si>
  <si>
    <t xml:space="preserve">Manufacture of soft drinks; production of mineral waters and other bottled waters </t>
  </si>
  <si>
    <t xml:space="preserve">Manufacture Of Textiles   </t>
  </si>
  <si>
    <t xml:space="preserve">Manufacture Of Wearing Apparel   </t>
  </si>
  <si>
    <t xml:space="preserve">Manufacture Of Leather And Related Products   </t>
  </si>
  <si>
    <t xml:space="preserve">Manufacture Of Wood &amp; Products Of Wood &amp; Cork, Except Furniture; Manuf. Of Articles Of Straw </t>
  </si>
  <si>
    <t xml:space="preserve">Manufacture Of Paper And Paper Products   </t>
  </si>
  <si>
    <t xml:space="preserve">Printing And Reproduction Of Recorded Media   </t>
  </si>
  <si>
    <t xml:space="preserve">Manufacture Of Coke And Refined Petroleum Products   </t>
  </si>
  <si>
    <t xml:space="preserve">Manufacture of paints, varnishes and similar coatings, printing ink and mastics </t>
  </si>
  <si>
    <t xml:space="preserve">Manufacture of soap &amp; detergents, cleaning &amp; polishing, perfumes &amp; toilet preparations </t>
  </si>
  <si>
    <t xml:space="preserve">Manufacture of other chemical products </t>
  </si>
  <si>
    <t xml:space="preserve">Manufacture of industrial gases, inorganics and fertilisers (inorganic chemicals) - 20.11/13/15 </t>
  </si>
  <si>
    <t xml:space="preserve">Manufacture of petrochemicals - 20.14/16/17/60 </t>
  </si>
  <si>
    <t xml:space="preserve">Manufacture of dyestuffs, agro-chemicals - 20.12/20 </t>
  </si>
  <si>
    <t xml:space="preserve">Manufacture Of Basic Pharmaceutical Products And Pharmaceutical Preparations </t>
  </si>
  <si>
    <t xml:space="preserve">Manufacture Of Rubber And Plastic Products   </t>
  </si>
  <si>
    <t xml:space="preserve">Manufacture of glass, refractory, clay, porcelain, ceramic, stone products - 23.1-4/7-9 </t>
  </si>
  <si>
    <t xml:space="preserve">Manufacture of basic iron and steel </t>
  </si>
  <si>
    <t xml:space="preserve">Manufacture of other basic metals and casting </t>
  </si>
  <si>
    <t xml:space="preserve">Manufacture of fabricated metal products </t>
  </si>
  <si>
    <t xml:space="preserve">Manufacture Of Computer, Electronic And Optical Products   </t>
  </si>
  <si>
    <t xml:space="preserve">Manufacture Of Electrical Equipment   </t>
  </si>
  <si>
    <t xml:space="preserve">Manufacture Of Machinery And Equipment N.E.C.   </t>
  </si>
  <si>
    <t xml:space="preserve">Manufacture Of Motor Vehicles, Trailers And Semi-Trailers   </t>
  </si>
  <si>
    <t xml:space="preserve">Building of ships and boats </t>
  </si>
  <si>
    <t xml:space="preserve">Manufacture of air and spacecraft and related machinery </t>
  </si>
  <si>
    <t xml:space="preserve">Manufacture of other transport equipment - 30.2/4/9 </t>
  </si>
  <si>
    <t xml:space="preserve">Manufacture Of Furniture   </t>
  </si>
  <si>
    <t xml:space="preserve">Other Manufacturing   </t>
  </si>
  <si>
    <t xml:space="preserve">Repair and maintenance of ships and boats </t>
  </si>
  <si>
    <t xml:space="preserve">Repair and maintenance of aircraft and spacecraft </t>
  </si>
  <si>
    <t xml:space="preserve">Rest of repair; Installation - 33.11-14/17/19/20 </t>
  </si>
  <si>
    <t xml:space="preserve">Electric power generation, transmission and distribution </t>
  </si>
  <si>
    <t xml:space="preserve">Manufacture of gas; distribution of gaseous fuels through mains; steam and aircon supply </t>
  </si>
  <si>
    <t xml:space="preserve">Water Collection, Treatment And Supply   </t>
  </si>
  <si>
    <t xml:space="preserve">Sewerage   </t>
  </si>
  <si>
    <t xml:space="preserve">Waste Collection, Treatment And Disposal Activities; Materials Recovery   </t>
  </si>
  <si>
    <t xml:space="preserve">Remediation Activities And Other Waste Management Services   </t>
  </si>
  <si>
    <t xml:space="preserve">Construction </t>
  </si>
  <si>
    <t xml:space="preserve">Wholesale And Retail Trade And Repair Of Motor Vehicles And Motorcycles   </t>
  </si>
  <si>
    <t xml:space="preserve">Wholesale Trade, Except Of Motor Vehicles And Motorcycles   </t>
  </si>
  <si>
    <t xml:space="preserve">Retail Trade, Except Of Motor Vehicles And Motorcycles   </t>
  </si>
  <si>
    <t xml:space="preserve">Rail transport </t>
  </si>
  <si>
    <t xml:space="preserve">Land transport services and transport services via pipelines, excluding rail transport </t>
  </si>
  <si>
    <t xml:space="preserve">Water Transport   </t>
  </si>
  <si>
    <t xml:space="preserve">Air Transport   </t>
  </si>
  <si>
    <t xml:space="preserve">Warehousing And Support Activities For Transportation   </t>
  </si>
  <si>
    <t xml:space="preserve">Postal And Courier Activities   </t>
  </si>
  <si>
    <t xml:space="preserve">Accommodation   </t>
  </si>
  <si>
    <t xml:space="preserve">Food And Beverage Service Activities   </t>
  </si>
  <si>
    <t xml:space="preserve">Publishing Activities   </t>
  </si>
  <si>
    <t xml:space="preserve">Motion Picture, Video &amp; TV Programme Production, Sound Recording &amp; Music Publishing Activities &amp; Programming And Broadcasting Activities </t>
  </si>
  <si>
    <t xml:space="preserve">Telecommunications   </t>
  </si>
  <si>
    <t xml:space="preserve">Computer Programming, Consultancy And Related Activities   </t>
  </si>
  <si>
    <t xml:space="preserve">Information Service Activities   </t>
  </si>
  <si>
    <t xml:space="preserve">Financial Service Activities, Except Insurance And Pension Funding   </t>
  </si>
  <si>
    <t xml:space="preserve">Insurance, reinsurance and pension funding services, except compulsory social security </t>
  </si>
  <si>
    <t xml:space="preserve">Activities Auxiliary To Financial Services And Insurance Activities   </t>
  </si>
  <si>
    <t xml:space="preserve">Buying and selling, renting and operating of own or leased real estate, excluding imputed rent </t>
  </si>
  <si>
    <t xml:space="preserve">Owner-Occupiers' Housing </t>
  </si>
  <si>
    <t xml:space="preserve">Real estate activities on a fee or contract basis   </t>
  </si>
  <si>
    <t xml:space="preserve">Legal activities   </t>
  </si>
  <si>
    <t xml:space="preserve">Accounting, bookkeeping and auditing activities; tax consultancy   </t>
  </si>
  <si>
    <t xml:space="preserve">Activities Of Head Offices; Management Consultancy Activities   </t>
  </si>
  <si>
    <t xml:space="preserve">Architectural And Engineering Activities; Technical Testing And Analysis   </t>
  </si>
  <si>
    <t xml:space="preserve">Scientific Research And Development   </t>
  </si>
  <si>
    <t xml:space="preserve">Advertising And Market Research   </t>
  </si>
  <si>
    <t xml:space="preserve">Other Professional, Scientific And Technical Activities   </t>
  </si>
  <si>
    <t xml:space="preserve">Veterinary Activities   </t>
  </si>
  <si>
    <t xml:space="preserve">Rental And Leasing Activities   </t>
  </si>
  <si>
    <t xml:space="preserve">Employment Activities   </t>
  </si>
  <si>
    <t xml:space="preserve">Travel Agency, Tour Operator And Other Reservation Service And Related Activities   </t>
  </si>
  <si>
    <t xml:space="preserve">Security And Investigation Activities   </t>
  </si>
  <si>
    <t xml:space="preserve">Services To Buildings And Landscape Activities   </t>
  </si>
  <si>
    <t xml:space="preserve">Office Administrative, Office Support And Other Business Support Activities   </t>
  </si>
  <si>
    <t xml:space="preserve">Public Administration And Defence; Compulsory Social Security   </t>
  </si>
  <si>
    <t xml:space="preserve">Education   </t>
  </si>
  <si>
    <t xml:space="preserve">Human Health Activities </t>
  </si>
  <si>
    <t xml:space="preserve">Residential Care  &amp; Social Work Activities </t>
  </si>
  <si>
    <t xml:space="preserve">Creative, Arts And Entertainment Activities   </t>
  </si>
  <si>
    <t xml:space="preserve">Libraries, Archives, Museums And Other Cultural Activities   </t>
  </si>
  <si>
    <t xml:space="preserve">Gambling And Betting Activities   </t>
  </si>
  <si>
    <t xml:space="preserve">Sports Activities And Amusement And Recreation Activities   </t>
  </si>
  <si>
    <t xml:space="preserve">Activities Of Membership Organisations   </t>
  </si>
  <si>
    <t xml:space="preserve">Repair Of Computers And Personal And Household Goods   </t>
  </si>
  <si>
    <t xml:space="preserve">Other Personal Service Activities   </t>
  </si>
  <si>
    <t xml:space="preserve">Activities Of Households As Employers Of Domestic Personnel   </t>
  </si>
  <si>
    <t xml:space="preserve"> 9 894</t>
  </si>
  <si>
    <t>-</t>
  </si>
  <si>
    <t xml:space="preserve"> 7 485</t>
  </si>
  <si>
    <t xml:space="preserve"> 6 179</t>
  </si>
  <si>
    <t xml:space="preserve"> 1 662</t>
  </si>
  <si>
    <t xml:space="preserve"> 1 540</t>
  </si>
  <si>
    <t xml:space="preserve"> 1 165</t>
  </si>
  <si>
    <t xml:space="preserve"> 30 480</t>
  </si>
  <si>
    <t xml:space="preserve"> 2 886</t>
  </si>
  <si>
    <t xml:space="preserve"> 2 397</t>
  </si>
  <si>
    <t xml:space="preserve"> 3 203</t>
  </si>
  <si>
    <t xml:space="preserve"> 2 306</t>
  </si>
  <si>
    <t xml:space="preserve"> 27 064</t>
  </si>
  <si>
    <t xml:space="preserve"> 13 119</t>
  </si>
  <si>
    <t xml:space="preserve"> 14 133</t>
  </si>
  <si>
    <t xml:space="preserve"> 58 479</t>
  </si>
  <si>
    <t xml:space="preserve"> 3 985</t>
  </si>
  <si>
    <t xml:space="preserve"> 6 721</t>
  </si>
  <si>
    <t xml:space="preserve"> 2 174</t>
  </si>
  <si>
    <t xml:space="preserve"> 3 349</t>
  </si>
  <si>
    <t xml:space="preserve"> 6 513</t>
  </si>
  <si>
    <t xml:space="preserve"> 1 350</t>
  </si>
  <si>
    <t xml:space="preserve"> 4 695</t>
  </si>
  <si>
    <t xml:space="preserve"> 18 892</t>
  </si>
  <si>
    <t xml:space="preserve"> 1 668</t>
  </si>
  <si>
    <t xml:space="preserve"> 9 430</t>
  </si>
  <si>
    <t xml:space="preserve"> 4 071</t>
  </si>
  <si>
    <t xml:space="preserve"> 1 826</t>
  </si>
  <si>
    <t xml:space="preserve"> 1 103</t>
  </si>
  <si>
    <t xml:space="preserve"> 1 436</t>
  </si>
  <si>
    <t xml:space="preserve"> 7 951</t>
  </si>
  <si>
    <t xml:space="preserve"> 1 247</t>
  </si>
  <si>
    <t xml:space="preserve"> 1 495</t>
  </si>
  <si>
    <t xml:space="preserve"> 1 610</t>
  </si>
  <si>
    <t xml:space="preserve"> 1 283</t>
  </si>
  <si>
    <t xml:space="preserve"> 8 015</t>
  </si>
  <si>
    <t xml:space="preserve"> 3 255</t>
  </si>
  <si>
    <t xml:space="preserve"> 7 875</t>
  </si>
  <si>
    <t xml:space="preserve"> 1 290</t>
  </si>
  <si>
    <t xml:space="preserve"> 4 557</t>
  </si>
  <si>
    <t xml:space="preserve"> 4 808</t>
  </si>
  <si>
    <t xml:space="preserve"> 17 627</t>
  </si>
  <si>
    <t xml:space="preserve"> 2 091</t>
  </si>
  <si>
    <t xml:space="preserve"> 1 842</t>
  </si>
  <si>
    <t xml:space="preserve"> 4 511</t>
  </si>
  <si>
    <t xml:space="preserve"> 1 191</t>
  </si>
  <si>
    <t xml:space="preserve"> 2 104</t>
  </si>
  <si>
    <t xml:space="preserve"> 9 228</t>
  </si>
  <si>
    <t xml:space="preserve"> 13 602</t>
  </si>
  <si>
    <t xml:space="preserve"> 2 729</t>
  </si>
  <si>
    <t xml:space="preserve"> 4 741</t>
  </si>
  <si>
    <t xml:space="preserve"> 1 685</t>
  </si>
  <si>
    <t xml:space="preserve"> 1 199</t>
  </si>
  <si>
    <t xml:space="preserve"> 1 070</t>
  </si>
  <si>
    <t xml:space="preserve"> 6 943</t>
  </si>
  <si>
    <t xml:space="preserve"> 3 139</t>
  </si>
  <si>
    <t xml:space="preserve"> 1 630</t>
  </si>
  <si>
    <t xml:space="preserve"> 8 593</t>
  </si>
  <si>
    <t xml:space="preserve"> 16 728</t>
  </si>
  <si>
    <t xml:space="preserve"> 3 765</t>
  </si>
  <si>
    <t xml:space="preserve"> 2 279</t>
  </si>
  <si>
    <t xml:space="preserve"> 1 448</t>
  </si>
  <si>
    <t xml:space="preserve"> 1 466</t>
  </si>
  <si>
    <t xml:space="preserve"> 1 298</t>
  </si>
  <si>
    <t xml:space="preserve"> 1 172</t>
  </si>
  <si>
    <t xml:space="preserve"> 25 436</t>
  </si>
  <si>
    <t xml:space="preserve"> 1 245</t>
  </si>
  <si>
    <t xml:space="preserve"> 1 125</t>
  </si>
  <si>
    <t xml:space="preserve"> 1 409</t>
  </si>
  <si>
    <t xml:space="preserve"> 1 416</t>
  </si>
  <si>
    <t xml:space="preserve"> 9 038</t>
  </si>
  <si>
    <t xml:space="preserve"> 2 096</t>
  </si>
  <si>
    <t xml:space="preserve"> 1 543</t>
  </si>
  <si>
    <t xml:space="preserve"> 3 245</t>
  </si>
  <si>
    <t xml:space="preserve"> 1 002</t>
  </si>
  <si>
    <t xml:space="preserve"> 5 088</t>
  </si>
  <si>
    <t xml:space="preserve"> 1 600</t>
  </si>
  <si>
    <t xml:space="preserve"> 6 141</t>
  </si>
  <si>
    <t xml:space="preserve"> 1 735</t>
  </si>
  <si>
    <t xml:space="preserve"> 7 507</t>
  </si>
  <si>
    <t xml:space="preserve"> 1 615</t>
  </si>
  <si>
    <t xml:space="preserve"> 1 292</t>
  </si>
  <si>
    <t xml:space="preserve"> 2 379</t>
  </si>
  <si>
    <t xml:space="preserve"> 47 408</t>
  </si>
  <si>
    <t xml:space="preserve"> 1 420</t>
  </si>
  <si>
    <t xml:space="preserve"> 2 204</t>
  </si>
  <si>
    <t xml:space="preserve"> 6 295</t>
  </si>
  <si>
    <t xml:space="preserve"> 3 796</t>
  </si>
  <si>
    <t xml:space="preserve"> 2 652</t>
  </si>
  <si>
    <t xml:space="preserve"> 1 766</t>
  </si>
  <si>
    <t xml:space="preserve"> 12 392</t>
  </si>
  <si>
    <t xml:space="preserve"> 1 635</t>
  </si>
  <si>
    <t xml:space="preserve"> 1 243</t>
  </si>
  <si>
    <t xml:space="preserve"> 6 337</t>
  </si>
  <si>
    <t xml:space="preserve"> 3 813</t>
  </si>
  <si>
    <t xml:space="preserve"> 1 181</t>
  </si>
  <si>
    <t xml:space="preserve"> 4 723</t>
  </si>
  <si>
    <t xml:space="preserve"> 1 198</t>
  </si>
  <si>
    <t xml:space="preserve"> 18 482</t>
  </si>
  <si>
    <t xml:space="preserve"> 2 112</t>
  </si>
  <si>
    <t xml:space="preserve"> 3 430</t>
  </si>
  <si>
    <t xml:space="preserve"> 10 782</t>
  </si>
  <si>
    <t xml:space="preserve"> 1 017</t>
  </si>
  <si>
    <t xml:space="preserve"> 1 023</t>
  </si>
  <si>
    <t xml:space="preserve"> 18 288</t>
  </si>
  <si>
    <t xml:space="preserve"> 32 248</t>
  </si>
  <si>
    <t xml:space="preserve"> 1 128</t>
  </si>
  <si>
    <t xml:space="preserve"> 4 926</t>
  </si>
  <si>
    <t xml:space="preserve"> 3 726</t>
  </si>
  <si>
    <t xml:space="preserve"> 3 719</t>
  </si>
  <si>
    <t xml:space="preserve"> 1 491</t>
  </si>
  <si>
    <t xml:space="preserve"> 1 274</t>
  </si>
  <si>
    <t xml:space="preserve"> 31 710</t>
  </si>
  <si>
    <t xml:space="preserve"> 16 571</t>
  </si>
  <si>
    <t xml:space="preserve"> 19 603</t>
  </si>
  <si>
    <t xml:space="preserve"> 1 393</t>
  </si>
  <si>
    <t xml:space="preserve"> 6 026</t>
  </si>
  <si>
    <t xml:space="preserve"> 1 210</t>
  </si>
  <si>
    <t xml:space="preserve"> 14 021</t>
  </si>
  <si>
    <t xml:space="preserve"> 3 099</t>
  </si>
  <si>
    <t xml:space="preserve"> 4 529</t>
  </si>
  <si>
    <t xml:space="preserve"> 1 039</t>
  </si>
  <si>
    <t xml:space="preserve"> 2 604</t>
  </si>
  <si>
    <t xml:space="preserve"> 5 174</t>
  </si>
  <si>
    <t xml:space="preserve"> 2 088</t>
  </si>
  <si>
    <t xml:space="preserve"> 1 778</t>
  </si>
  <si>
    <t xml:space="preserve"> 1 304</t>
  </si>
  <si>
    <t xml:space="preserve"> 24 488</t>
  </si>
  <si>
    <t xml:space="preserve"> 2 479</t>
  </si>
  <si>
    <t xml:space="preserve"> 2 167</t>
  </si>
  <si>
    <t xml:space="preserve"> 1 069</t>
  </si>
  <si>
    <t xml:space="preserve"> 2 608</t>
  </si>
  <si>
    <t xml:space="preserve"> 1 736</t>
  </si>
  <si>
    <t xml:space="preserve"> 1 083</t>
  </si>
  <si>
    <t xml:space="preserve"> 2 007</t>
  </si>
  <si>
    <t xml:space="preserve"> 15 120</t>
  </si>
  <si>
    <t xml:space="preserve"> 5 350</t>
  </si>
  <si>
    <t xml:space="preserve"> 5 184</t>
  </si>
  <si>
    <t xml:space="preserve"> 3 383</t>
  </si>
  <si>
    <t xml:space="preserve"> 1 288</t>
  </si>
  <si>
    <t xml:space="preserve"> 11 916</t>
  </si>
  <si>
    <t xml:space="preserve"> 3 907</t>
  </si>
  <si>
    <t xml:space="preserve"> 44 402</t>
  </si>
  <si>
    <t xml:space="preserve"> 2 203</t>
  </si>
  <si>
    <t xml:space="preserve"> 1 329</t>
  </si>
  <si>
    <t xml:space="preserve"> 1 825</t>
  </si>
  <si>
    <t xml:space="preserve"> 1 043</t>
  </si>
  <si>
    <t xml:space="preserve"> 1 921</t>
  </si>
  <si>
    <t xml:space="preserve"> 1 697</t>
  </si>
  <si>
    <t xml:space="preserve"> 3 189</t>
  </si>
  <si>
    <t xml:space="preserve"> 3 004</t>
  </si>
  <si>
    <t xml:space="preserve"> 1 082</t>
  </si>
  <si>
    <t xml:space="preserve"> 2 202</t>
  </si>
  <si>
    <t xml:space="preserve"> 1 178</t>
  </si>
  <si>
    <t xml:space="preserve"> 12 645</t>
  </si>
  <si>
    <t xml:space="preserve"> 2 811</t>
  </si>
  <si>
    <t xml:space="preserve"> 13 855</t>
  </si>
  <si>
    <t xml:space="preserve"> 1 018</t>
  </si>
  <si>
    <t xml:space="preserve"> 60 351</t>
  </si>
  <si>
    <t xml:space="preserve"> 1 567</t>
  </si>
  <si>
    <t xml:space="preserve"> 1 361</t>
  </si>
  <si>
    <t xml:space="preserve"> 1 639</t>
  </si>
  <si>
    <t xml:space="preserve"> 9 295</t>
  </si>
  <si>
    <t xml:space="preserve"> 22 327</t>
  </si>
  <si>
    <t xml:space="preserve"> 1 625</t>
  </si>
  <si>
    <t xml:space="preserve"> 7 803</t>
  </si>
  <si>
    <t xml:space="preserve"> 4 075</t>
  </si>
  <si>
    <t xml:space="preserve"> 1 068</t>
  </si>
  <si>
    <t xml:space="preserve"> 4 039</t>
  </si>
  <si>
    <t xml:space="preserve"> 6 392</t>
  </si>
  <si>
    <t xml:space="preserve"> 1 675</t>
  </si>
  <si>
    <t xml:space="preserve"> 1 091</t>
  </si>
  <si>
    <t xml:space="preserve"> 40 968</t>
  </si>
  <si>
    <t xml:space="preserve"> 1 004</t>
  </si>
  <si>
    <t xml:space="preserve"> 23 537</t>
  </si>
  <si>
    <t xml:space="preserve"> 17 326</t>
  </si>
  <si>
    <t xml:space="preserve"> 3 116</t>
  </si>
  <si>
    <t xml:space="preserve"> 2 960</t>
  </si>
  <si>
    <t xml:space="preserve"> 55 156</t>
  </si>
  <si>
    <t xml:space="preserve"> 1 544</t>
  </si>
  <si>
    <t xml:space="preserve"> 2 885</t>
  </si>
  <si>
    <t xml:space="preserve"> 5 237</t>
  </si>
  <si>
    <t xml:space="preserve"> 5 586</t>
  </si>
  <si>
    <t xml:space="preserve"> 12 997</t>
  </si>
  <si>
    <t xml:space="preserve"> 1 449</t>
  </si>
  <si>
    <t xml:space="preserve"> 4 345</t>
  </si>
  <si>
    <t xml:space="preserve"> 3 019</t>
  </si>
  <si>
    <t xml:space="preserve"> 1 400</t>
  </si>
  <si>
    <t xml:space="preserve"> 4 733</t>
  </si>
  <si>
    <t xml:space="preserve"> 12 850</t>
  </si>
  <si>
    <t xml:space="preserve"> 2 955</t>
  </si>
  <si>
    <t xml:space="preserve"> 3 949</t>
  </si>
  <si>
    <t xml:space="preserve"> 1 155</t>
  </si>
  <si>
    <t xml:space="preserve"> 1 390</t>
  </si>
  <si>
    <t xml:space="preserve"> 2 879</t>
  </si>
  <si>
    <t xml:space="preserve"> 1 132</t>
  </si>
  <si>
    <t xml:space="preserve"> 1 348</t>
  </si>
  <si>
    <t xml:space="preserve"> 1 349</t>
  </si>
  <si>
    <t xml:space="preserve"> 25 862</t>
  </si>
  <si>
    <t xml:space="preserve"> 69 805</t>
  </si>
  <si>
    <t xml:space="preserve"> 8 151</t>
  </si>
  <si>
    <t xml:space="preserve"> 1 752</t>
  </si>
  <si>
    <t xml:space="preserve"> 4 472</t>
  </si>
  <si>
    <t xml:space="preserve"> 1 163</t>
  </si>
  <si>
    <t xml:space="preserve"> 1 623</t>
  </si>
  <si>
    <t xml:space="preserve"> 2 242</t>
  </si>
  <si>
    <t xml:space="preserve"> 1 086</t>
  </si>
  <si>
    <t xml:space="preserve"> 1 152</t>
  </si>
  <si>
    <t xml:space="preserve"> 1 666</t>
  </si>
  <si>
    <t xml:space="preserve"> 115 517</t>
  </si>
  <si>
    <t xml:space="preserve"> 31 844</t>
  </si>
  <si>
    <t xml:space="preserve"> 26 623</t>
  </si>
  <si>
    <t xml:space="preserve"> 1 051</t>
  </si>
  <si>
    <t xml:space="preserve"> 71 512</t>
  </si>
  <si>
    <t xml:space="preserve"> 1 065</t>
  </si>
  <si>
    <t xml:space="preserve"> 6 463</t>
  </si>
  <si>
    <t xml:space="preserve"> 2 229</t>
  </si>
  <si>
    <t xml:space="preserve"> 1 014</t>
  </si>
  <si>
    <t xml:space="preserve"> 6 057</t>
  </si>
  <si>
    <t xml:space="preserve"> 6 182</t>
  </si>
  <si>
    <t xml:space="preserve"> 1 388</t>
  </si>
  <si>
    <t xml:space="preserve"> 1 275</t>
  </si>
  <si>
    <t xml:space="preserve"> 16 333</t>
  </si>
  <si>
    <t xml:space="preserve"> 4 269</t>
  </si>
  <si>
    <t xml:space="preserve"> 131 803</t>
  </si>
  <si>
    <t xml:space="preserve"> 2 775</t>
  </si>
  <si>
    <t xml:space="preserve"> 1 706</t>
  </si>
  <si>
    <t xml:space="preserve"> 1 614</t>
  </si>
  <si>
    <t xml:space="preserve"> 1 197</t>
  </si>
  <si>
    <t xml:space="preserve"> 11 565</t>
  </si>
  <si>
    <t xml:space="preserve"> 11 255</t>
  </si>
  <si>
    <t xml:space="preserve"> 7 550</t>
  </si>
  <si>
    <t xml:space="preserve"> 1 296</t>
  </si>
  <si>
    <t xml:space="preserve"> 186 192</t>
  </si>
  <si>
    <t xml:space="preserve"> 2 176</t>
  </si>
  <si>
    <t xml:space="preserve"> 1 363</t>
  </si>
  <si>
    <t xml:space="preserve"> 1 215</t>
  </si>
  <si>
    <t xml:space="preserve"> 2 240</t>
  </si>
  <si>
    <t xml:space="preserve"> 12 528</t>
  </si>
  <si>
    <t xml:space="preserve"> 2 006</t>
  </si>
  <si>
    <t xml:space="preserve"> 4 013</t>
  </si>
  <si>
    <t xml:space="preserve"> 1 515</t>
  </si>
  <si>
    <t xml:space="preserve"> 10 745</t>
  </si>
  <si>
    <t xml:space="preserve"> 6 454</t>
  </si>
  <si>
    <t xml:space="preserve"> 8 110</t>
  </si>
  <si>
    <t xml:space="preserve"> 1 952</t>
  </si>
  <si>
    <t xml:space="preserve"> 1 477</t>
  </si>
  <si>
    <t xml:space="preserve"> 2 503</t>
  </si>
  <si>
    <t xml:space="preserve"> 1 093</t>
  </si>
  <si>
    <t xml:space="preserve"> 54 494</t>
  </si>
  <si>
    <t xml:space="preserve"> 2 225</t>
  </si>
  <si>
    <t xml:space="preserve"> 2 246</t>
  </si>
  <si>
    <t xml:space="preserve"> 6 127</t>
  </si>
  <si>
    <t xml:space="preserve"> 4 650</t>
  </si>
  <si>
    <t xml:space="preserve"> 2 291</t>
  </si>
  <si>
    <t xml:space="preserve"> 1 510</t>
  </si>
  <si>
    <t xml:space="preserve"> 4 595</t>
  </si>
  <si>
    <t xml:space="preserve"> 16 546</t>
  </si>
  <si>
    <t xml:space="preserve"> 1 527</t>
  </si>
  <si>
    <t xml:space="preserve"> 10 303</t>
  </si>
  <si>
    <t xml:space="preserve"> 6 282</t>
  </si>
  <si>
    <t xml:space="preserve"> 2 803</t>
  </si>
  <si>
    <t xml:space="preserve"> 1 048</t>
  </si>
  <si>
    <t xml:space="preserve"> 1 879</t>
  </si>
  <si>
    <t xml:space="preserve"> 9 771</t>
  </si>
  <si>
    <t xml:space="preserve"> 1 394</t>
  </si>
  <si>
    <t xml:space="preserve"> 42 706</t>
  </si>
  <si>
    <t xml:space="preserve"> 2 361</t>
  </si>
  <si>
    <t xml:space="preserve"> 3 243</t>
  </si>
  <si>
    <t xml:space="preserve"> 4 810</t>
  </si>
  <si>
    <t xml:space="preserve"> 4 123</t>
  </si>
  <si>
    <t xml:space="preserve"> 3 201</t>
  </si>
  <si>
    <t xml:space="preserve"> 2 120</t>
  </si>
  <si>
    <t xml:space="preserve"> 29 871</t>
  </si>
  <si>
    <t xml:space="preserve"> 1 185</t>
  </si>
  <si>
    <t xml:space="preserve"> 2 634</t>
  </si>
  <si>
    <t xml:space="preserve"> 1 057</t>
  </si>
  <si>
    <t xml:space="preserve"> 11 745</t>
  </si>
  <si>
    <t xml:space="preserve"> 2 051</t>
  </si>
  <si>
    <t xml:space="preserve"> 1 101</t>
  </si>
  <si>
    <t xml:space="preserve"> 2 097</t>
  </si>
  <si>
    <t xml:space="preserve"> 1 734</t>
  </si>
  <si>
    <t xml:space="preserve"> 1 133</t>
  </si>
  <si>
    <t xml:space="preserve"> 17 430</t>
  </si>
  <si>
    <t xml:space="preserve"> 2 852</t>
  </si>
  <si>
    <t xml:space="preserve"> 6 000</t>
  </si>
  <si>
    <t xml:space="preserve"> 19 631</t>
  </si>
  <si>
    <t xml:space="preserve"> 21 394</t>
  </si>
  <si>
    <t xml:space="preserve"> 1 129</t>
  </si>
  <si>
    <t xml:space="preserve"> 1 286</t>
  </si>
  <si>
    <t xml:space="preserve"> 5 892</t>
  </si>
  <si>
    <t xml:space="preserve"> 3 384</t>
  </si>
  <si>
    <t xml:space="preserve"> 3 895</t>
  </si>
  <si>
    <t xml:space="preserve"> 1 624</t>
  </si>
  <si>
    <t xml:space="preserve"> 32 771</t>
  </si>
  <si>
    <t xml:space="preserve"> 2 482</t>
  </si>
  <si>
    <t xml:space="preserve"> 1 071</t>
  </si>
  <si>
    <t xml:space="preserve"> 3 411</t>
  </si>
  <si>
    <t xml:space="preserve"> 4 321</t>
  </si>
  <si>
    <t xml:space="preserve"> 1 710</t>
  </si>
  <si>
    <t xml:space="preserve"> 22 938</t>
  </si>
  <si>
    <t xml:space="preserve"> 5 713</t>
  </si>
  <si>
    <t xml:space="preserve"> 1 268</t>
  </si>
  <si>
    <t xml:space="preserve"> 5 523</t>
  </si>
  <si>
    <t xml:space="preserve"> 1 160</t>
  </si>
  <si>
    <t xml:space="preserve"> 1 373</t>
  </si>
  <si>
    <t xml:space="preserve"> 2 844</t>
  </si>
  <si>
    <t xml:space="preserve"> 1 384</t>
  </si>
  <si>
    <t xml:space="preserve"> 1 355</t>
  </si>
  <si>
    <t xml:space="preserve"> 3 228</t>
  </si>
  <si>
    <t xml:space="preserve"> 1 322</t>
  </si>
  <si>
    <t xml:space="preserve"> 2 228</t>
  </si>
  <si>
    <t xml:space="preserve"> 1 031</t>
  </si>
  <si>
    <t xml:space="preserve"> 83 738</t>
  </si>
  <si>
    <t xml:space="preserve"> 1 760</t>
  </si>
  <si>
    <t xml:space="preserve"> 2 127</t>
  </si>
  <si>
    <t xml:space="preserve"> 1 267</t>
  </si>
  <si>
    <t xml:space="preserve"> 1 141</t>
  </si>
  <si>
    <t xml:space="preserve"> 12 179</t>
  </si>
  <si>
    <t xml:space="preserve"> 1 305</t>
  </si>
  <si>
    <t xml:space="preserve"> 1 496</t>
  </si>
  <si>
    <t xml:space="preserve"> 1 180</t>
  </si>
  <si>
    <t xml:space="preserve"> 1 076</t>
  </si>
  <si>
    <t xml:space="preserve"> 1 848</t>
  </si>
  <si>
    <t xml:space="preserve"> 1 294</t>
  </si>
  <si>
    <t xml:space="preserve"> 3 900</t>
  </si>
  <si>
    <t xml:space="preserve"> 2 400</t>
  </si>
  <si>
    <t xml:space="preserve"> 3 047</t>
  </si>
  <si>
    <t xml:space="preserve"> 1 467</t>
  </si>
  <si>
    <t xml:space="preserve"> 1 318</t>
  </si>
  <si>
    <t xml:space="preserve"> 16 648</t>
  </si>
  <si>
    <t xml:space="preserve"> 2 257</t>
  </si>
  <si>
    <t xml:space="preserve"> 8 115</t>
  </si>
  <si>
    <t>-20 814</t>
  </si>
  <si>
    <t xml:space="preserve"> 1 493</t>
  </si>
  <si>
    <t xml:space="preserve"> 1 011</t>
  </si>
  <si>
    <t xml:space="preserve"> 1 250</t>
  </si>
  <si>
    <t xml:space="preserve"> 5 505</t>
  </si>
  <si>
    <t xml:space="preserve"> 2 521</t>
  </si>
  <si>
    <t xml:space="preserve"> 69 499</t>
  </si>
  <si>
    <t xml:space="preserve"> 2 374</t>
  </si>
  <si>
    <t xml:space="preserve"> 16 332</t>
  </si>
  <si>
    <t xml:space="preserve"> 2 215</t>
  </si>
  <si>
    <t xml:space="preserve"> 36 312</t>
  </si>
  <si>
    <t xml:space="preserve"> 2 940</t>
  </si>
  <si>
    <t xml:space="preserve"> 1 453</t>
  </si>
  <si>
    <t xml:space="preserve"> 13 841</t>
  </si>
  <si>
    <t xml:space="preserve"> 10 414</t>
  </si>
  <si>
    <t xml:space="preserve"> 18 826</t>
  </si>
  <si>
    <t xml:space="preserve"> 3 780</t>
  </si>
  <si>
    <t xml:space="preserve"> 1 311</t>
  </si>
  <si>
    <t xml:space="preserve"> 1 395</t>
  </si>
  <si>
    <t xml:space="preserve"> 60 621</t>
  </si>
  <si>
    <t xml:space="preserve"> 3 244</t>
  </si>
  <si>
    <t xml:space="preserve"> 7 682</t>
  </si>
  <si>
    <t xml:space="preserve"> 2 014</t>
  </si>
  <si>
    <t xml:space="preserve"> 1 422</t>
  </si>
  <si>
    <t xml:space="preserve"> 1 899</t>
  </si>
  <si>
    <t xml:space="preserve"> 2 249</t>
  </si>
  <si>
    <t xml:space="preserve"> 7 764</t>
  </si>
  <si>
    <t xml:space="preserve"> 2 111</t>
  </si>
  <si>
    <t xml:space="preserve"> 1 576</t>
  </si>
  <si>
    <t xml:space="preserve"> 4 234</t>
  </si>
  <si>
    <t xml:space="preserve"> 2 653</t>
  </si>
  <si>
    <t xml:space="preserve"> 3 062</t>
  </si>
  <si>
    <t xml:space="preserve"> 56 449</t>
  </si>
  <si>
    <t xml:space="preserve"> 1 609</t>
  </si>
  <si>
    <t xml:space="preserve"> 1 117</t>
  </si>
  <si>
    <t xml:space="preserve"> 1 284</t>
  </si>
  <si>
    <t xml:space="preserve"> 1 773</t>
  </si>
  <si>
    <t xml:space="preserve"> 2 975</t>
  </si>
  <si>
    <t xml:space="preserve"> 1 230</t>
  </si>
  <si>
    <t xml:space="preserve"> 2 056</t>
  </si>
  <si>
    <t xml:space="preserve"> 4 310</t>
  </si>
  <si>
    <t xml:space="preserve"> 2 995</t>
  </si>
  <si>
    <t xml:space="preserve"> 33 082</t>
  </si>
  <si>
    <t xml:space="preserve"> 1 499</t>
  </si>
  <si>
    <t xml:space="preserve"> 1 029</t>
  </si>
  <si>
    <t xml:space="preserve"> 4 918</t>
  </si>
  <si>
    <t xml:space="preserve"> 2 705</t>
  </si>
  <si>
    <t xml:space="preserve"> 3 050</t>
  </si>
  <si>
    <t xml:space="preserve"> 1 054</t>
  </si>
  <si>
    <t xml:space="preserve"> 32 151</t>
  </si>
  <si>
    <t xml:space="preserve"> 3 020</t>
  </si>
  <si>
    <t xml:space="preserve"> 1 994</t>
  </si>
  <si>
    <t xml:space="preserve"> 4 451</t>
  </si>
  <si>
    <t xml:space="preserve"> 13 957</t>
  </si>
  <si>
    <t xml:space="preserve"> 12 047</t>
  </si>
  <si>
    <t xml:space="preserve"> 1 277</t>
  </si>
  <si>
    <t xml:space="preserve"> 2 038</t>
  </si>
  <si>
    <t xml:space="preserve"> 1 089</t>
  </si>
  <si>
    <t xml:space="preserve"> 61 845</t>
  </si>
  <si>
    <t xml:space="preserve"> 6 262</t>
  </si>
  <si>
    <t xml:space="preserve"> 1 755</t>
  </si>
  <si>
    <t xml:space="preserve"> 2 611</t>
  </si>
  <si>
    <t xml:space="preserve"> 17 389</t>
  </si>
  <si>
    <t xml:space="preserve"> 42 182</t>
  </si>
  <si>
    <t xml:space="preserve"> 8 057</t>
  </si>
  <si>
    <t xml:space="preserve"> 8 119</t>
  </si>
  <si>
    <t xml:space="preserve"> 1 159</t>
  </si>
  <si>
    <t xml:space="preserve"> 1 843</t>
  </si>
  <si>
    <t xml:space="preserve"> 5 017</t>
  </si>
  <si>
    <t xml:space="preserve"> 8 340</t>
  </si>
  <si>
    <t xml:space="preserve"> 4 068</t>
  </si>
  <si>
    <t xml:space="preserve"> 1 814</t>
  </si>
  <si>
    <t xml:space="preserve"> 2 632</t>
  </si>
  <si>
    <t xml:space="preserve"> 1 188</t>
  </si>
  <si>
    <t xml:space="preserve"> 5 176</t>
  </si>
  <si>
    <t xml:space="preserve"> 1 959</t>
  </si>
  <si>
    <t xml:space="preserve"> 1 104</t>
  </si>
  <si>
    <t xml:space="preserve"> 56 616</t>
  </si>
  <si>
    <t xml:space="preserve"> 1 242</t>
  </si>
  <si>
    <t xml:space="preserve"> 1 731</t>
  </si>
  <si>
    <t xml:space="preserve"> 1 476</t>
  </si>
  <si>
    <t xml:space="preserve"> 2 670</t>
  </si>
  <si>
    <t xml:space="preserve"> 8 777</t>
  </si>
  <si>
    <t xml:space="preserve"> 28 938</t>
  </si>
  <si>
    <t xml:space="preserve"> 6 239</t>
  </si>
  <si>
    <t xml:space="preserve"> 7 256</t>
  </si>
  <si>
    <t xml:space="preserve"> 2 873</t>
  </si>
  <si>
    <t xml:space="preserve"> 2 274</t>
  </si>
  <si>
    <t xml:space="preserve"> 1 116</t>
  </si>
  <si>
    <t xml:space="preserve"> 2 003</t>
  </si>
  <si>
    <t xml:space="preserve"> 1 354</t>
  </si>
  <si>
    <t xml:space="preserve"> 1 212</t>
  </si>
  <si>
    <t xml:space="preserve"> 2 065</t>
  </si>
  <si>
    <t xml:space="preserve"> 1 580</t>
  </si>
  <si>
    <t xml:space="preserve"> 1 503</t>
  </si>
  <si>
    <t xml:space="preserve"> 44 533</t>
  </si>
  <si>
    <t xml:space="preserve"> 3 229</t>
  </si>
  <si>
    <t xml:space="preserve"> 1 934</t>
  </si>
  <si>
    <t xml:space="preserve"> 2 298</t>
  </si>
  <si>
    <t xml:space="preserve"> 1 985</t>
  </si>
  <si>
    <t xml:space="preserve"> 1 506</t>
  </si>
  <si>
    <t xml:space="preserve"> 1 137</t>
  </si>
  <si>
    <t xml:space="preserve"> 2 445</t>
  </si>
  <si>
    <t xml:space="preserve"> 17 814</t>
  </si>
  <si>
    <t xml:space="preserve"> 1 703</t>
  </si>
  <si>
    <t xml:space="preserve"> 5 268</t>
  </si>
  <si>
    <t xml:space="preserve"> 59 085</t>
  </si>
  <si>
    <t xml:space="preserve"> 3 178</t>
  </si>
  <si>
    <t xml:space="preserve"> 7 654</t>
  </si>
  <si>
    <t xml:space="preserve"> 1 655</t>
  </si>
  <si>
    <t xml:space="preserve"> 1 535</t>
  </si>
  <si>
    <t xml:space="preserve"> 2 252</t>
  </si>
  <si>
    <t xml:space="preserve"> 8 342</t>
  </si>
  <si>
    <t xml:space="preserve"> 1 362</t>
  </si>
  <si>
    <t xml:space="preserve"> 3 508</t>
  </si>
  <si>
    <t xml:space="preserve"> 8 716</t>
  </si>
  <si>
    <t xml:space="preserve"> 1 559</t>
  </si>
  <si>
    <t xml:space="preserve"> 1 474</t>
  </si>
  <si>
    <t xml:space="preserve"> 29 600</t>
  </si>
  <si>
    <t xml:space="preserve"> 1 005</t>
  </si>
  <si>
    <t xml:space="preserve"> 4 505</t>
  </si>
  <si>
    <t xml:space="preserve"> 1 222</t>
  </si>
  <si>
    <t xml:space="preserve"> 4 879</t>
  </si>
  <si>
    <t xml:space="preserve"> 7 128</t>
  </si>
  <si>
    <t xml:space="preserve"> 2 800</t>
  </si>
  <si>
    <t xml:space="preserve"> 9 837</t>
  </si>
  <si>
    <t xml:space="preserve"> 1 695</t>
  </si>
  <si>
    <t xml:space="preserve"> 1 265</t>
  </si>
  <si>
    <t xml:space="preserve"> 1 279</t>
  </si>
  <si>
    <t xml:space="preserve"> 48 805</t>
  </si>
  <si>
    <t xml:space="preserve"> 1 878</t>
  </si>
  <si>
    <t xml:space="preserve"> 2 821</t>
  </si>
  <si>
    <t xml:space="preserve"> 6 334</t>
  </si>
  <si>
    <t xml:space="preserve"> 4 847</t>
  </si>
  <si>
    <t xml:space="preserve"> 19 383</t>
  </si>
  <si>
    <t xml:space="preserve"> 7 192</t>
  </si>
  <si>
    <t xml:space="preserve"> 15 336</t>
  </si>
  <si>
    <t xml:space="preserve"> 1 038</t>
  </si>
  <si>
    <t xml:space="preserve"> 29 146</t>
  </si>
  <si>
    <t xml:space="preserve"> 3 819</t>
  </si>
  <si>
    <t xml:space="preserve"> 4 501</t>
  </si>
  <si>
    <t xml:space="preserve"> 1 972</t>
  </si>
  <si>
    <t xml:space="preserve"> 15 173</t>
  </si>
  <si>
    <t xml:space="preserve"> 17 174</t>
  </si>
  <si>
    <t xml:space="preserve"> 1 302</t>
  </si>
  <si>
    <t xml:space="preserve"> 3 685</t>
  </si>
  <si>
    <t xml:space="preserve"> 6 653</t>
  </si>
  <si>
    <t xml:space="preserve"> 1 120</t>
  </si>
  <si>
    <t xml:space="preserve"> 1 463</t>
  </si>
  <si>
    <t xml:space="preserve"> 2 012</t>
  </si>
  <si>
    <t xml:space="preserve"> 1 045</t>
  </si>
  <si>
    <t xml:space="preserve"> 3 355</t>
  </si>
  <si>
    <t xml:space="preserve"> 1 581</t>
  </si>
  <si>
    <t xml:space="preserve"> 3 141</t>
  </si>
  <si>
    <t xml:space="preserve"> 3 998</t>
  </si>
  <si>
    <t xml:space="preserve"> 25 777</t>
  </si>
  <si>
    <t xml:space="preserve"> 12 332</t>
  </si>
  <si>
    <t xml:space="preserve"> 4 801</t>
  </si>
  <si>
    <t xml:space="preserve"> 3 370</t>
  </si>
  <si>
    <t xml:space="preserve"> 19 486</t>
  </si>
  <si>
    <t xml:space="preserve"> 8 313</t>
  </si>
  <si>
    <t xml:space="preserve"> 11 294</t>
  </si>
  <si>
    <t xml:space="preserve"> 5 994</t>
  </si>
  <si>
    <t xml:space="preserve"> 9 323</t>
  </si>
  <si>
    <t xml:space="preserve"> 15 771</t>
  </si>
  <si>
    <t xml:space="preserve"> 8 025</t>
  </si>
  <si>
    <t xml:space="preserve"> 9 852</t>
  </si>
  <si>
    <t xml:space="preserve"> 5 202</t>
  </si>
  <si>
    <t xml:space="preserve"> 3 793</t>
  </si>
  <si>
    <t xml:space="preserve"> 1 501</t>
  </si>
  <si>
    <t xml:space="preserve"> 6 639</t>
  </si>
  <si>
    <t xml:space="preserve"> 10 014</t>
  </si>
  <si>
    <t xml:space="preserve"> 5 821</t>
  </si>
  <si>
    <t xml:space="preserve"> 32 371</t>
  </si>
  <si>
    <t xml:space="preserve"> 2 615</t>
  </si>
  <si>
    <t xml:space="preserve"> 4 945</t>
  </si>
  <si>
    <t xml:space="preserve"> 5 077</t>
  </si>
  <si>
    <t xml:space="preserve"> 3 800</t>
  </si>
  <si>
    <t xml:space="preserve"> 8 581</t>
  </si>
  <si>
    <t xml:space="preserve"> 1 636</t>
  </si>
  <si>
    <t xml:space="preserve"> 28 432</t>
  </si>
  <si>
    <t xml:space="preserve"> 17 574</t>
  </si>
  <si>
    <t xml:space="preserve"> 5 583</t>
  </si>
  <si>
    <t xml:space="preserve"> 5 427</t>
  </si>
  <si>
    <t xml:space="preserve"> 7 303</t>
  </si>
  <si>
    <t xml:space="preserve"> 4 201</t>
  </si>
  <si>
    <t xml:space="preserve"> 23 286</t>
  </si>
  <si>
    <t xml:space="preserve"> 10 809</t>
  </si>
  <si>
    <t xml:space="preserve"> 10 838</t>
  </si>
  <si>
    <t xml:space="preserve"> 28 737</t>
  </si>
  <si>
    <t xml:space="preserve"> 60 183</t>
  </si>
  <si>
    <t xml:space="preserve"> 3 594</t>
  </si>
  <si>
    <t xml:space="preserve"> 17 010</t>
  </si>
  <si>
    <t xml:space="preserve"> 1 733</t>
  </si>
  <si>
    <t xml:space="preserve"> 5 112</t>
  </si>
  <si>
    <t xml:space="preserve"> 8 021</t>
  </si>
  <si>
    <t xml:space="preserve"> 2 743</t>
  </si>
  <si>
    <t xml:space="preserve"> 8 923</t>
  </si>
  <si>
    <t xml:space="preserve"> 144 448</t>
  </si>
  <si>
    <t xml:space="preserve"> 56 816</t>
  </si>
  <si>
    <t xml:space="preserve"> 4 477</t>
  </si>
  <si>
    <t xml:space="preserve"> 2 332</t>
  </si>
  <si>
    <t xml:space="preserve"> 20 066</t>
  </si>
  <si>
    <t xml:space="preserve"> 253 727</t>
  </si>
  <si>
    <t xml:space="preserve"> 34 642</t>
  </si>
  <si>
    <t xml:space="preserve"> 85 106</t>
  </si>
  <si>
    <t xml:space="preserve"> 75 279</t>
  </si>
  <si>
    <t xml:space="preserve"> 11 734</t>
  </si>
  <si>
    <t xml:space="preserve"> 32 539</t>
  </si>
  <si>
    <t xml:space="preserve"> 11 670</t>
  </si>
  <si>
    <t xml:space="preserve"> 22 083</t>
  </si>
  <si>
    <t xml:space="preserve"> 35 255</t>
  </si>
  <si>
    <t xml:space="preserve"> 11 163</t>
  </si>
  <si>
    <t xml:space="preserve"> 16 692</t>
  </si>
  <si>
    <t xml:space="preserve"> 46 128</t>
  </si>
  <si>
    <t xml:space="preserve"> 10 629</t>
  </si>
  <si>
    <t xml:space="preserve"> 41 130</t>
  </si>
  <si>
    <t xml:space="preserve"> 27 524</t>
  </si>
  <si>
    <t xml:space="preserve"> 58 936</t>
  </si>
  <si>
    <t xml:space="preserve"> 8 086</t>
  </si>
  <si>
    <t xml:space="preserve"> 99 141</t>
  </si>
  <si>
    <t xml:space="preserve"> 42 576</t>
  </si>
  <si>
    <t xml:space="preserve"> 41 022</t>
  </si>
  <si>
    <t xml:space="preserve"> 44 286</t>
  </si>
  <si>
    <t xml:space="preserve"> 5 855</t>
  </si>
  <si>
    <t xml:space="preserve"> 6 367</t>
  </si>
  <si>
    <t xml:space="preserve"> 10 759</t>
  </si>
  <si>
    <t xml:space="preserve"> 8 574</t>
  </si>
  <si>
    <t xml:space="preserve"> 37 479</t>
  </si>
  <si>
    <t xml:space="preserve"> 41 017</t>
  </si>
  <si>
    <t xml:space="preserve"> 18 798</t>
  </si>
  <si>
    <t xml:space="preserve"> 15 997</t>
  </si>
  <si>
    <t xml:space="preserve"> 16 471</t>
  </si>
  <si>
    <t xml:space="preserve"> 16 753</t>
  </si>
  <si>
    <t xml:space="preserve"> 27 286</t>
  </si>
  <si>
    <t xml:space="preserve"> 18 144</t>
  </si>
  <si>
    <t xml:space="preserve"> 3 778</t>
  </si>
  <si>
    <t xml:space="preserve"> 16 773</t>
  </si>
  <si>
    <t xml:space="preserve"> 25 515</t>
  </si>
  <si>
    <t xml:space="preserve"> 97 087</t>
  </si>
  <si>
    <t xml:space="preserve"> 54 766</t>
  </si>
  <si>
    <t xml:space="preserve"> 93 763</t>
  </si>
  <si>
    <t xml:space="preserve"> 39 364</t>
  </si>
  <si>
    <t xml:space="preserve"> 8 116</t>
  </si>
  <si>
    <t xml:space="preserve"> 5 226</t>
  </si>
  <si>
    <t xml:space="preserve"> 13 791</t>
  </si>
  <si>
    <t xml:space="preserve"> 7 362</t>
  </si>
  <si>
    <t xml:space="preserve"> 2 216</t>
  </si>
  <si>
    <t xml:space="preserve"> 8 061</t>
  </si>
  <si>
    <t>2 322 416</t>
  </si>
  <si>
    <t xml:space="preserve"> 4 937</t>
  </si>
  <si>
    <t xml:space="preserve"> 2 649</t>
  </si>
  <si>
    <t xml:space="preserve"> 1 154</t>
  </si>
  <si>
    <t xml:space="preserve"> 1 916</t>
  </si>
  <si>
    <t xml:space="preserve"> 5 777</t>
  </si>
  <si>
    <t>-2 498</t>
  </si>
  <si>
    <t>-2 121</t>
  </si>
  <si>
    <t xml:space="preserve"> 2 231</t>
  </si>
  <si>
    <t>-4 458</t>
  </si>
  <si>
    <t xml:space="preserve"> 26 228</t>
  </si>
  <si>
    <t xml:space="preserve"> 3 870</t>
  </si>
  <si>
    <t xml:space="preserve"> 2 211</t>
  </si>
  <si>
    <t xml:space="preserve"> 1 406</t>
  </si>
  <si>
    <t xml:space="preserve"> 4 169</t>
  </si>
  <si>
    <t xml:space="preserve"> 1 894</t>
  </si>
  <si>
    <t xml:space="preserve"> 1 462</t>
  </si>
  <si>
    <t xml:space="preserve"> 3 490</t>
  </si>
  <si>
    <t xml:space="preserve"> 5 513</t>
  </si>
  <si>
    <t xml:space="preserve"> 2 377</t>
  </si>
  <si>
    <t xml:space="preserve"> 2 431</t>
  </si>
  <si>
    <t xml:space="preserve"> 2 509</t>
  </si>
  <si>
    <t xml:space="preserve"> 2 973</t>
  </si>
  <si>
    <t xml:space="preserve"> 2 794</t>
  </si>
  <si>
    <t xml:space="preserve"> 1 206</t>
  </si>
  <si>
    <t xml:space="preserve"> 1 967</t>
  </si>
  <si>
    <t xml:space="preserve"> 1 505</t>
  </si>
  <si>
    <t xml:space="preserve"> 7 168</t>
  </si>
  <si>
    <t xml:space="preserve"> 6 357</t>
  </si>
  <si>
    <t xml:space="preserve"> 2 184</t>
  </si>
  <si>
    <t xml:space="preserve"> 1 936</t>
  </si>
  <si>
    <t xml:space="preserve"> 1 451</t>
  </si>
  <si>
    <t xml:space="preserve"> 12 971</t>
  </si>
  <si>
    <t xml:space="preserve"> 11 135</t>
  </si>
  <si>
    <t xml:space="preserve"> 4 349</t>
  </si>
  <si>
    <t xml:space="preserve"> 10 612</t>
  </si>
  <si>
    <t xml:space="preserve"> 10 025</t>
  </si>
  <si>
    <t xml:space="preserve"> 2 033</t>
  </si>
  <si>
    <t xml:space="preserve"> 5 519</t>
  </si>
  <si>
    <t xml:space="preserve"> 3 179</t>
  </si>
  <si>
    <t xml:space="preserve"> 3 932</t>
  </si>
  <si>
    <t xml:space="preserve"> 1 330</t>
  </si>
  <si>
    <t xml:space="preserve"> 4 853</t>
  </si>
  <si>
    <t xml:space="preserve"> 6 251</t>
  </si>
  <si>
    <t xml:space="preserve"> 1 562</t>
  </si>
  <si>
    <t xml:space="preserve"> 2 592</t>
  </si>
  <si>
    <t xml:space="preserve"> 2 026</t>
  </si>
  <si>
    <t xml:space="preserve"> 6 429</t>
  </si>
  <si>
    <t xml:space="preserve"> 60 509</t>
  </si>
  <si>
    <t xml:space="preserve"> 25 758</t>
  </si>
  <si>
    <t xml:space="preserve"> 58 652</t>
  </si>
  <si>
    <t xml:space="preserve"> 67 458</t>
  </si>
  <si>
    <t xml:space="preserve"> 4 771</t>
  </si>
  <si>
    <t xml:space="preserve"> 20 772</t>
  </si>
  <si>
    <t xml:space="preserve"> 3 575</t>
  </si>
  <si>
    <t xml:space="preserve"> 3 390</t>
  </si>
  <si>
    <t xml:space="preserve"> 20 811</t>
  </si>
  <si>
    <t xml:space="preserve"> 8 947</t>
  </si>
  <si>
    <t xml:space="preserve"> 12 816</t>
  </si>
  <si>
    <t xml:space="preserve"> 38 648</t>
  </si>
  <si>
    <t xml:space="preserve"> 8 250</t>
  </si>
  <si>
    <t xml:space="preserve"> 11 809</t>
  </si>
  <si>
    <t xml:space="preserve"> 18 769</t>
  </si>
  <si>
    <t xml:space="preserve"> 54 875</t>
  </si>
  <si>
    <t xml:space="preserve"> 6 864</t>
  </si>
  <si>
    <t xml:space="preserve"> 53 027</t>
  </si>
  <si>
    <t xml:space="preserve"> 10 349</t>
  </si>
  <si>
    <t xml:space="preserve"> 35 661</t>
  </si>
  <si>
    <t xml:space="preserve"> 14 627</t>
  </si>
  <si>
    <t xml:space="preserve"> 5 487</t>
  </si>
  <si>
    <t xml:space="preserve"> 16 824</t>
  </si>
  <si>
    <t xml:space="preserve"> 24 652</t>
  </si>
  <si>
    <t xml:space="preserve"> 30 649</t>
  </si>
  <si>
    <t xml:space="preserve"> 24 796</t>
  </si>
  <si>
    <t xml:space="preserve"> 10 862</t>
  </si>
  <si>
    <t xml:space="preserve"> 12 715</t>
  </si>
  <si>
    <t xml:space="preserve"> 10 388</t>
  </si>
  <si>
    <t xml:space="preserve"> 4 894</t>
  </si>
  <si>
    <t xml:space="preserve"> 12 888</t>
  </si>
  <si>
    <t xml:space="preserve"> 25 107</t>
  </si>
  <si>
    <t xml:space="preserve"> 7 221</t>
  </si>
  <si>
    <t xml:space="preserve"> 2 962</t>
  </si>
  <si>
    <t xml:space="preserve"> 10 549</t>
  </si>
  <si>
    <t xml:space="preserve"> 20 536</t>
  </si>
  <si>
    <t xml:space="preserve"> 87 496</t>
  </si>
  <si>
    <t xml:space="preserve"> 111 831</t>
  </si>
  <si>
    <t xml:space="preserve"> 113 529</t>
  </si>
  <si>
    <t xml:space="preserve"> 53 619</t>
  </si>
  <si>
    <t xml:space="preserve"> 4 309</t>
  </si>
  <si>
    <t xml:space="preserve"> 2 442</t>
  </si>
  <si>
    <t xml:space="preserve"> 10 619</t>
  </si>
  <si>
    <t xml:space="preserve"> 8 064</t>
  </si>
  <si>
    <t xml:space="preserve"> 7 734</t>
  </si>
  <si>
    <t xml:space="preserve"> 2 927</t>
  </si>
  <si>
    <t>1 329 778</t>
  </si>
  <si>
    <t xml:space="preserve"> 11 850</t>
  </si>
  <si>
    <t xml:space="preserve"> 23 955</t>
  </si>
  <si>
    <t xml:space="preserve"> 1 473</t>
  </si>
  <si>
    <t xml:space="preserve"> 2 166</t>
  </si>
  <si>
    <t xml:space="preserve"> 1 164</t>
  </si>
  <si>
    <t xml:space="preserve"> 2 905</t>
  </si>
  <si>
    <t xml:space="preserve"> 5 532</t>
  </si>
  <si>
    <t xml:space="preserve"> 1 335</t>
  </si>
  <si>
    <t xml:space="preserve"> 1 961</t>
  </si>
  <si>
    <t xml:space="preserve"> 1 794</t>
  </si>
  <si>
    <t xml:space="preserve"> 1 725</t>
  </si>
  <si>
    <t xml:space="preserve"> 2 074</t>
  </si>
  <si>
    <t xml:space="preserve"> 2 929</t>
  </si>
  <si>
    <t xml:space="preserve"> 1 774</t>
  </si>
  <si>
    <t xml:space="preserve"> 1 184</t>
  </si>
  <si>
    <t xml:space="preserve"> 1 321</t>
  </si>
  <si>
    <t xml:space="preserve"> 6 197</t>
  </si>
  <si>
    <t xml:space="preserve"> 5 127</t>
  </si>
  <si>
    <t xml:space="preserve"> 1 982</t>
  </si>
  <si>
    <t xml:space="preserve"> 5 079</t>
  </si>
  <si>
    <t xml:space="preserve"> 4 482</t>
  </si>
  <si>
    <t xml:space="preserve"> 6 073</t>
  </si>
  <si>
    <t xml:space="preserve"> 1 519</t>
  </si>
  <si>
    <t xml:space="preserve"> 2 054</t>
  </si>
  <si>
    <t xml:space="preserve"> 30 115</t>
  </si>
  <si>
    <t xml:space="preserve"> 7 100</t>
  </si>
  <si>
    <t xml:space="preserve"> 6 054</t>
  </si>
  <si>
    <t xml:space="preserve"> 6 918</t>
  </si>
  <si>
    <t xml:space="preserve"> 4 323</t>
  </si>
  <si>
    <t xml:space="preserve"> 85 299</t>
  </si>
  <si>
    <t xml:space="preserve"> 7 993</t>
  </si>
  <si>
    <t xml:space="preserve"> 38 281</t>
  </si>
  <si>
    <t xml:space="preserve"> 39 900</t>
  </si>
  <si>
    <t xml:space="preserve"> 1 537</t>
  </si>
  <si>
    <t xml:space="preserve"> 2 958</t>
  </si>
  <si>
    <t xml:space="preserve"> 6 291</t>
  </si>
  <si>
    <t xml:space="preserve"> 4 706</t>
  </si>
  <si>
    <t xml:space="preserve"> 7 693</t>
  </si>
  <si>
    <t xml:space="preserve"> 8 028</t>
  </si>
  <si>
    <t xml:space="preserve"> 5 310</t>
  </si>
  <si>
    <t xml:space="preserve"> 13 394</t>
  </si>
  <si>
    <t xml:space="preserve"> 16 222</t>
  </si>
  <si>
    <t xml:space="preserve"> 12 329</t>
  </si>
  <si>
    <t xml:space="preserve"> 5 760</t>
  </si>
  <si>
    <t xml:space="preserve"> 42 024</t>
  </si>
  <si>
    <t xml:space="preserve"> 33 761</t>
  </si>
  <si>
    <t xml:space="preserve"> 26 060</t>
  </si>
  <si>
    <t xml:space="preserve"> 73 627</t>
  </si>
  <si>
    <t xml:space="preserve"> 254 256</t>
  </si>
  <si>
    <t xml:space="preserve"> 19 302</t>
  </si>
  <si>
    <t xml:space="preserve"> 9 282</t>
  </si>
  <si>
    <t xml:space="preserve"> 8 112</t>
  </si>
  <si>
    <t xml:space="preserve"> 7 090</t>
  </si>
  <si>
    <t xml:space="preserve"> 16 346</t>
  </si>
  <si>
    <t xml:space="preserve"> 12 485</t>
  </si>
  <si>
    <t xml:space="preserve"> 2 620</t>
  </si>
  <si>
    <t xml:space="preserve"> 2 081</t>
  </si>
  <si>
    <t xml:space="preserve"> 17 371</t>
  </si>
  <si>
    <t xml:space="preserve"> 6 474</t>
  </si>
  <si>
    <t xml:space="preserve"> 4 453</t>
  </si>
  <si>
    <t xml:space="preserve"> 1 514</t>
  </si>
  <si>
    <t xml:space="preserve"> 5 682</t>
  </si>
  <si>
    <t xml:space="preserve"> 9 752</t>
  </si>
  <si>
    <t xml:space="preserve"> 36 417</t>
  </si>
  <si>
    <t xml:space="preserve"> 32 562</t>
  </si>
  <si>
    <t xml:space="preserve"> 27 302</t>
  </si>
  <si>
    <t xml:space="preserve"> 9 132</t>
  </si>
  <si>
    <t xml:space="preserve"> 6 536</t>
  </si>
  <si>
    <t xml:space="preserve"> 5 068</t>
  </si>
  <si>
    <t xml:space="preserve"> 1 196</t>
  </si>
  <si>
    <t xml:space="preserve"> 1 492</t>
  </si>
  <si>
    <t xml:space="preserve"> 16 253</t>
  </si>
  <si>
    <t>1 141 384</t>
  </si>
  <si>
    <t xml:space="preserve"> 15 902</t>
  </si>
  <si>
    <t xml:space="preserve"> 1 072</t>
  </si>
  <si>
    <t xml:space="preserve"> 26 676</t>
  </si>
  <si>
    <t xml:space="preserve"> 2 724</t>
  </si>
  <si>
    <t xml:space="preserve"> 1 852</t>
  </si>
  <si>
    <t xml:space="preserve"> 6 335</t>
  </si>
  <si>
    <t xml:space="preserve"> 2 812</t>
  </si>
  <si>
    <t xml:space="preserve"> 1 900</t>
  </si>
  <si>
    <t xml:space="preserve"> 4 676</t>
  </si>
  <si>
    <t xml:space="preserve"> 8 520</t>
  </si>
  <si>
    <t xml:space="preserve"> 1 557</t>
  </si>
  <si>
    <t xml:space="preserve"> 7 871</t>
  </si>
  <si>
    <t xml:space="preserve"> 2 058</t>
  </si>
  <si>
    <t xml:space="preserve"> 3 759</t>
  </si>
  <si>
    <t xml:space="preserve"> 1 929</t>
  </si>
  <si>
    <t xml:space="preserve"> 4 514</t>
  </si>
  <si>
    <t xml:space="preserve"> 4 223</t>
  </si>
  <si>
    <t xml:space="preserve"> 4 622</t>
  </si>
  <si>
    <t xml:space="preserve"> 2 874</t>
  </si>
  <si>
    <t xml:space="preserve"> 1 459</t>
  </si>
  <si>
    <t xml:space="preserve"> 4 043</t>
  </si>
  <si>
    <t xml:space="preserve"> 1 604</t>
  </si>
  <si>
    <t xml:space="preserve"> 1 554</t>
  </si>
  <si>
    <t xml:space="preserve"> 2 178</t>
  </si>
  <si>
    <t xml:space="preserve"> 23 758</t>
  </si>
  <si>
    <t xml:space="preserve"> 9 423</t>
  </si>
  <si>
    <t xml:space="preserve"> 3 859</t>
  </si>
  <si>
    <t xml:space="preserve"> 3 450</t>
  </si>
  <si>
    <t xml:space="preserve"> 3 076</t>
  </si>
  <si>
    <t xml:space="preserve"> 2 796</t>
  </si>
  <si>
    <t xml:space="preserve"> 19 515</t>
  </si>
  <si>
    <t xml:space="preserve"> 16 336</t>
  </si>
  <si>
    <t xml:space="preserve"> 6 383</t>
  </si>
  <si>
    <t xml:space="preserve"> 15 856</t>
  </si>
  <si>
    <t xml:space="preserve"> 14 715</t>
  </si>
  <si>
    <t xml:space="preserve"> 2 497</t>
  </si>
  <si>
    <t xml:space="preserve"> 11 597</t>
  </si>
  <si>
    <t xml:space="preserve"> 4 572</t>
  </si>
  <si>
    <t xml:space="preserve"> 5 498</t>
  </si>
  <si>
    <t xml:space="preserve"> 41 303</t>
  </si>
  <si>
    <t xml:space="preserve"> 9 273</t>
  </si>
  <si>
    <t xml:space="preserve"> 9 086</t>
  </si>
  <si>
    <t xml:space="preserve"> 9 067</t>
  </si>
  <si>
    <t xml:space="preserve"> 10 973</t>
  </si>
  <si>
    <t xml:space="preserve"> 148 457</t>
  </si>
  <si>
    <t xml:space="preserve"> 34 905</t>
  </si>
  <si>
    <t xml:space="preserve"> 98 849</t>
  </si>
  <si>
    <t xml:space="preserve"> 113 135</t>
  </si>
  <si>
    <t xml:space="preserve"> 3 810</t>
  </si>
  <si>
    <t xml:space="preserve"> 27 705</t>
  </si>
  <si>
    <t xml:space="preserve"> 6 713</t>
  </si>
  <si>
    <t xml:space="preserve"> 4 270</t>
  </si>
  <si>
    <t xml:space="preserve"> 28 390</t>
  </si>
  <si>
    <t xml:space="preserve"> 13 847</t>
  </si>
  <si>
    <t xml:space="preserve"> 21 422</t>
  </si>
  <si>
    <t xml:space="preserve"> 48 682</t>
  </si>
  <si>
    <t xml:space="preserve"> 13 525</t>
  </si>
  <si>
    <t xml:space="preserve"> 23 082</t>
  </si>
  <si>
    <t xml:space="preserve"> 35 239</t>
  </si>
  <si>
    <t xml:space="preserve"> 67 864</t>
  </si>
  <si>
    <t xml:space="preserve"> 12 587</t>
  </si>
  <si>
    <t xml:space="preserve"> 97 282</t>
  </si>
  <si>
    <t xml:space="preserve"> 44 688</t>
  </si>
  <si>
    <t xml:space="preserve"> 62 076</t>
  </si>
  <si>
    <t xml:space="preserve"> 83 796</t>
  </si>
  <si>
    <t xml:space="preserve"> 8 797</t>
  </si>
  <si>
    <t xml:space="preserve"> 36 524</t>
  </si>
  <si>
    <t xml:space="preserve"> 34 026</t>
  </si>
  <si>
    <t xml:space="preserve"> 39 092</t>
  </si>
  <si>
    <t xml:space="preserve"> 32 278</t>
  </si>
  <si>
    <t xml:space="preserve"> 27 181</t>
  </si>
  <si>
    <t xml:space="preserve"> 25 298</t>
  </si>
  <si>
    <t xml:space="preserve"> 13 017</t>
  </si>
  <si>
    <t xml:space="preserve"> 6 855</t>
  </si>
  <si>
    <t xml:space="preserve"> 30 637</t>
  </si>
  <si>
    <t xml:space="preserve"> 31 894</t>
  </si>
  <si>
    <t xml:space="preserve"> 12 019</t>
  </si>
  <si>
    <t xml:space="preserve"> 4 530</t>
  </si>
  <si>
    <t xml:space="preserve"> 16 307</t>
  </si>
  <si>
    <t xml:space="preserve"> 30 766</t>
  </si>
  <si>
    <t xml:space="preserve"> 123 913</t>
  </si>
  <si>
    <t xml:space="preserve"> 145 019</t>
  </si>
  <si>
    <t xml:space="preserve"> 141 071</t>
  </si>
  <si>
    <t xml:space="preserve"> 63 213</t>
  </si>
  <si>
    <t xml:space="preserve"> 10 897</t>
  </si>
  <si>
    <t xml:space="preserve"> 2 758</t>
  </si>
  <si>
    <t xml:space="preserve"> 4 915</t>
  </si>
  <si>
    <t xml:space="preserve"> 16 064</t>
  </si>
  <si>
    <t xml:space="preserve"> 9 405</t>
  </si>
  <si>
    <t xml:space="preserve"> 3 184</t>
  </si>
  <si>
    <t xml:space="preserve"> 24 495</t>
  </si>
  <si>
    <t>2 497 390</t>
  </si>
  <si>
    <t xml:space="preserve"> 41 679</t>
  </si>
  <si>
    <t xml:space="preserve"> 2 214</t>
  </si>
  <si>
    <t xml:space="preserve"> 39 008</t>
  </si>
  <si>
    <t xml:space="preserve"> 7 525</t>
  </si>
  <si>
    <t xml:space="preserve"> 5 222</t>
  </si>
  <si>
    <t xml:space="preserve"> 25 821</t>
  </si>
  <si>
    <t xml:space="preserve"> 11 125</t>
  </si>
  <si>
    <t xml:space="preserve"> 1 285</t>
  </si>
  <si>
    <t xml:space="preserve"> 13 626</t>
  </si>
  <si>
    <t xml:space="preserve"> 7 894</t>
  </si>
  <si>
    <t xml:space="preserve"> 13 999</t>
  </si>
  <si>
    <t xml:space="preserve"> 24 291</t>
  </si>
  <si>
    <t xml:space="preserve"> 9 582</t>
  </si>
  <si>
    <t xml:space="preserve"> 17 723</t>
  </si>
  <si>
    <t xml:space="preserve"> 7 260</t>
  </si>
  <si>
    <t xml:space="preserve"> 7 552</t>
  </si>
  <si>
    <t xml:space="preserve"> 1 025</t>
  </si>
  <si>
    <t xml:space="preserve"> 11 153</t>
  </si>
  <si>
    <t xml:space="preserve"> 14 237</t>
  </si>
  <si>
    <t xml:space="preserve"> 10 443</t>
  </si>
  <si>
    <t xml:space="preserve"> 35 245</t>
  </si>
  <si>
    <t xml:space="preserve"> 4 074</t>
  </si>
  <si>
    <t xml:space="preserve"> 8 988</t>
  </si>
  <si>
    <t xml:space="preserve"> 6 681</t>
  </si>
  <si>
    <t xml:space="preserve"> 5 354</t>
  </si>
  <si>
    <t xml:space="preserve"> 2 394</t>
  </si>
  <si>
    <t xml:space="preserve"> 52 190</t>
  </si>
  <si>
    <t xml:space="preserve"> 26 997</t>
  </si>
  <si>
    <t xml:space="preserve"> 9 442</t>
  </si>
  <si>
    <t xml:space="preserve"> 8 877</t>
  </si>
  <si>
    <t xml:space="preserve"> 10 379</t>
  </si>
  <si>
    <t xml:space="preserve"> 6 997</t>
  </si>
  <si>
    <t xml:space="preserve"> 42 801</t>
  </si>
  <si>
    <t xml:space="preserve"> 27 145</t>
  </si>
  <si>
    <t xml:space="preserve"> 17 221</t>
  </si>
  <si>
    <t xml:space="preserve"> 44 593</t>
  </si>
  <si>
    <t xml:space="preserve"> 74 898</t>
  </si>
  <si>
    <t xml:space="preserve"> 6 091</t>
  </si>
  <si>
    <t xml:space="preserve"> 28 607</t>
  </si>
  <si>
    <t xml:space="preserve"> 2 428</t>
  </si>
  <si>
    <t xml:space="preserve"> 9 684</t>
  </si>
  <si>
    <t xml:space="preserve"> 13 519</t>
  </si>
  <si>
    <t xml:space="preserve"> 1 747</t>
  </si>
  <si>
    <t xml:space="preserve"> 4 725</t>
  </si>
  <si>
    <t xml:space="preserve"> 15 866</t>
  </si>
  <si>
    <t xml:space="preserve"> 185 751</t>
  </si>
  <si>
    <t xml:space="preserve"> 66 089</t>
  </si>
  <si>
    <t xml:space="preserve"> 13 563</t>
  </si>
  <si>
    <t xml:space="preserve"> 11 399</t>
  </si>
  <si>
    <t xml:space="preserve"> 31 039</t>
  </si>
  <si>
    <t xml:space="preserve"> 402 184</t>
  </si>
  <si>
    <t xml:space="preserve"> 69 547</t>
  </si>
  <si>
    <t xml:space="preserve"> 183 955</t>
  </si>
  <si>
    <t xml:space="preserve"> 188 414</t>
  </si>
  <si>
    <t xml:space="preserve"> 15 544</t>
  </si>
  <si>
    <t xml:space="preserve"> 60 244</t>
  </si>
  <si>
    <t xml:space="preserve"> 18 383</t>
  </si>
  <si>
    <t xml:space="preserve"> 26 353</t>
  </si>
  <si>
    <t xml:space="preserve"> 63 645</t>
  </si>
  <si>
    <t xml:space="preserve"> 25 010</t>
  </si>
  <si>
    <t xml:space="preserve"> 38 114</t>
  </si>
  <si>
    <t xml:space="preserve"> 94 810</t>
  </si>
  <si>
    <t xml:space="preserve"> 24 154</t>
  </si>
  <si>
    <t xml:space="preserve"> 64 212</t>
  </si>
  <si>
    <t xml:space="preserve"> 62 763</t>
  </si>
  <si>
    <t xml:space="preserve"> 126 800</t>
  </si>
  <si>
    <t xml:space="preserve"> 20 673</t>
  </si>
  <si>
    <t xml:space="preserve"> 196 423</t>
  </si>
  <si>
    <t xml:space="preserve"> 87 264</t>
  </si>
  <si>
    <t xml:space="preserve"> 103 098</t>
  </si>
  <si>
    <t xml:space="preserve"> 128 082</t>
  </si>
  <si>
    <t xml:space="preserve"> 260 111</t>
  </si>
  <si>
    <t xml:space="preserve"> 15 164</t>
  </si>
  <si>
    <t xml:space="preserve"> 47 283</t>
  </si>
  <si>
    <t xml:space="preserve"> 42 600</t>
  </si>
  <si>
    <t xml:space="preserve"> 76 571</t>
  </si>
  <si>
    <t xml:space="preserve"> 73 295</t>
  </si>
  <si>
    <t xml:space="preserve"> 45 979</t>
  </si>
  <si>
    <t xml:space="preserve"> 41 295</t>
  </si>
  <si>
    <t xml:space="preserve"> 29 488</t>
  </si>
  <si>
    <t xml:space="preserve"> 8 946</t>
  </si>
  <si>
    <t xml:space="preserve"> 47 390</t>
  </si>
  <si>
    <t xml:space="preserve"> 59 180</t>
  </si>
  <si>
    <t xml:space="preserve"> 30 163</t>
  </si>
  <si>
    <t xml:space="preserve"> 8 308</t>
  </si>
  <si>
    <t xml:space="preserve"> 33 080</t>
  </si>
  <si>
    <t xml:space="preserve"> 56 281</t>
  </si>
  <si>
    <t xml:space="preserve"> 221 000</t>
  </si>
  <si>
    <t xml:space="preserve"> 199 785</t>
  </si>
  <si>
    <t xml:space="preserve"> 234 834</t>
  </si>
  <si>
    <t xml:space="preserve"> 102 577</t>
  </si>
  <si>
    <t xml:space="preserve"> 19 013</t>
  </si>
  <si>
    <t xml:space="preserve"> 4 862</t>
  </si>
  <si>
    <t xml:space="preserve"> 10 141</t>
  </si>
  <si>
    <t xml:space="preserve"> 29 855</t>
  </si>
  <si>
    <t xml:space="preserve"> 16 767</t>
  </si>
  <si>
    <t xml:space="preserve"> 5 400</t>
  </si>
  <si>
    <t xml:space="preserve"> 32 556</t>
  </si>
  <si>
    <t>4 819 806</t>
  </si>
  <si>
    <t>Supply</t>
  </si>
  <si>
    <t>Table 1: Supply of products</t>
  </si>
  <si>
    <t>Use</t>
  </si>
  <si>
    <t>Table 2: Demand of products - The 'Combined Use matrix' - Intermediate demand</t>
  </si>
  <si>
    <t>Table 2: Demand of products - The 'Combined Use matrix' - Final demand</t>
  </si>
  <si>
    <t>Table 3: Households final consumption expenditure</t>
  </si>
  <si>
    <t>Table 4: Gross fixed capital formation by industry</t>
  </si>
  <si>
    <t>National Statistics website</t>
  </si>
  <si>
    <t>Supply and Use Tables, 1997 - 2023</t>
  </si>
  <si>
    <t>(consistent with UK National Accounts 2025 Blue Book)</t>
  </si>
  <si>
    <t>October 2025</t>
  </si>
  <si>
    <t>Click selection below to navigate - Click yellow Contents cell to return here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</si>
  <si>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</si>
  <si>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</si>
  <si>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</si>
  <si>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</si>
  <si>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</si>
  <si>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</si>
  <si>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</si>
  <si>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</si>
  <si>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</si>
  <si>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</si>
  <si>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</si>
  <si>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</si>
  <si>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</si>
  <si>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</si>
  <si>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</si>
  <si>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</si>
  <si>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</si>
  <si>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</si>
  <si>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</si>
  <si>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</si>
  <si>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</si>
  <si>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</si>
  <si>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</si>
  <si>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</si>
  <si>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</si>
  <si>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</si>
  <si>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</si>
  <si>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Alpha_for_economy_for_Economy_unweighted</t>
  </si>
  <si>
    <t>SIC Group</t>
  </si>
  <si>
    <t>Compensation of Employees (£m)</t>
  </si>
  <si>
    <t>A (Agriculture)</t>
  </si>
  <si>
    <t>B-E (Production)</t>
  </si>
  <si>
    <t>F (Construction)</t>
  </si>
  <si>
    <t>G-I (Services)</t>
  </si>
  <si>
    <t>J (Tech/Info)</t>
  </si>
  <si>
    <t>K (Finance)</t>
  </si>
  <si>
    <t>L (Real Estate)</t>
  </si>
  <si>
    <t>M-N (Prof. services)</t>
  </si>
  <si>
    <t>O-Q (Gov/Health)</t>
  </si>
  <si>
    <t>R-T (Other)</t>
  </si>
  <si>
    <t>TOTAL</t>
  </si>
  <si>
    <t>Your Alpha (α) (the group alpha column G)</t>
  </si>
  <si>
    <t>Weighted Contribution( (K x L )/100)</t>
  </si>
  <si>
    <t>Weight (% of Total Labour) (Sum of all the J divided by each J)</t>
  </si>
  <si>
    <t>SUM = 3.62 (final alpha for outliers)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</si>
</sst>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#\ ##0_-;\-#\ ##0_-;&quot;-&quot;_-;@_-"/>
  </numFmts>
  <fonts count="1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48"/>
      <name val="Arial"/>
      <family val="2"/>
    </font>
    <font>
      <sz val="14"/>
      <name val="Arial"/>
      <family val="2"/>
    </font>
    <font>
      <sz val="14"/>
      <color rgb="FF0000FF"/>
      <name val="Arial"/>
      <family val="2"/>
    </font>
    <font>
      <i/>
      <sz val="14"/>
      <color rgb="FFFF0000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u/>
      <sz val="10"/>
      <color indexed="12"/>
      <name val="System"/>
      <family val="2"/>
    </font>
    <font>
      <u/>
      <sz val="12"/>
      <color indexed="12"/>
      <name val="Arial"/>
      <family val="2"/>
    </font>
    <font>
      <sz val="14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u/>
      <sz val="12"/>
      <color theme="1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164" fontId="3" fillId="0" borderId="0" xfId="0" applyNumberFormat="1" applyFont="1" applyProtection="1">
      <protection locked="0"/>
    </xf>
    <xf numFmtId="164" fontId="4" fillId="0" borderId="0" xfId="0" applyNumberFormat="1" applyFont="1" applyAlignment="1" applyProtection="1">
      <alignment vertical="center" wrapText="1"/>
      <protection locked="0"/>
    </xf>
    <xf numFmtId="164" fontId="4" fillId="0" borderId="2" xfId="0" applyNumberFormat="1" applyFont="1" applyBorder="1" applyAlignment="1" applyProtection="1">
      <alignment vertical="center" wrapText="1"/>
      <protection locked="0"/>
    </xf>
    <xf numFmtId="164" fontId="4" fillId="0" borderId="2" xfId="0" applyNumberFormat="1" applyFont="1" applyBorder="1" applyProtection="1">
      <protection locked="0"/>
    </xf>
    <xf numFmtId="164" fontId="4" fillId="0" borderId="2" xfId="0" applyNumberFormat="1" applyFont="1" applyBorder="1" applyAlignment="1" applyProtection="1">
      <alignment horizontal="right"/>
      <protection locked="0"/>
    </xf>
    <xf numFmtId="164" fontId="4" fillId="0" borderId="0" xfId="0" applyNumberFormat="1" applyFont="1" applyAlignment="1" applyProtection="1">
      <alignment horizontal="right"/>
      <protection locked="0"/>
    </xf>
    <xf numFmtId="165" fontId="4" fillId="0" borderId="5" xfId="0" applyNumberFormat="1" applyFont="1" applyBorder="1" applyAlignment="1" applyProtection="1">
      <alignment horizontal="right"/>
      <protection locked="0"/>
    </xf>
    <xf numFmtId="165" fontId="4" fillId="0" borderId="0" xfId="0" applyNumberFormat="1" applyFont="1" applyAlignment="1" applyProtection="1">
      <alignment horizontal="right"/>
      <protection locked="0"/>
    </xf>
    <xf numFmtId="164" fontId="4" fillId="0" borderId="0" xfId="0" applyNumberFormat="1" applyFont="1" applyProtection="1">
      <protection locked="0"/>
    </xf>
    <xf numFmtId="165" fontId="4" fillId="0" borderId="6" xfId="0" applyNumberFormat="1" applyFont="1" applyBorder="1" applyAlignment="1" applyProtection="1">
      <alignment horizontal="right"/>
      <protection locked="0"/>
    </xf>
    <xf numFmtId="164" fontId="4" fillId="0" borderId="3" xfId="0" applyNumberFormat="1" applyFont="1" applyBorder="1" applyAlignment="1" applyProtection="1">
      <alignment horizontal="center" vertical="center" wrapText="1"/>
      <protection locked="0"/>
    </xf>
    <xf numFmtId="164" fontId="4" fillId="0" borderId="3" xfId="0" applyNumberFormat="1" applyFont="1" applyBorder="1" applyAlignment="1" applyProtection="1">
      <alignment horizontal="left" vertical="center" wrapText="1"/>
      <protection locked="0"/>
    </xf>
    <xf numFmtId="165" fontId="4" fillId="0" borderId="0" xfId="0" applyNumberFormat="1" applyFont="1" applyAlignment="1">
      <alignment vertical="justify"/>
    </xf>
    <xf numFmtId="164" fontId="4" fillId="0" borderId="9" xfId="0" applyNumberFormat="1" applyFont="1" applyBorder="1" applyAlignment="1" applyProtection="1">
      <alignment vertical="top"/>
      <protection locked="0"/>
    </xf>
    <xf numFmtId="165" fontId="4" fillId="0" borderId="9" xfId="0" applyNumberFormat="1" applyFont="1" applyBorder="1" applyAlignment="1">
      <alignment vertical="justify"/>
    </xf>
    <xf numFmtId="164" fontId="4" fillId="0" borderId="0" xfId="0" applyNumberFormat="1" applyFont="1" applyAlignment="1" applyProtection="1">
      <alignment vertical="top"/>
      <protection locked="0"/>
    </xf>
    <xf numFmtId="165" fontId="4" fillId="0" borderId="3" xfId="0" applyNumberFormat="1" applyFont="1" applyBorder="1" applyAlignment="1">
      <alignment vertical="justify"/>
    </xf>
    <xf numFmtId="164" fontId="4" fillId="0" borderId="10" xfId="0" applyNumberFormat="1" applyFont="1" applyBorder="1" applyAlignment="1" applyProtection="1">
      <alignment horizontal="left" vertical="top"/>
      <protection locked="0"/>
    </xf>
    <xf numFmtId="164" fontId="4" fillId="0" borderId="10" xfId="0" applyNumberFormat="1" applyFont="1" applyBorder="1" applyAlignment="1" applyProtection="1">
      <alignment vertical="top"/>
      <protection locked="0"/>
    </xf>
    <xf numFmtId="165" fontId="4" fillId="0" borderId="2" xfId="0" applyNumberFormat="1" applyFont="1" applyBorder="1" applyAlignment="1">
      <alignment vertical="justify"/>
    </xf>
    <xf numFmtId="164" fontId="4" fillId="0" borderId="9" xfId="0" applyNumberFormat="1" applyFont="1" applyBorder="1" applyAlignment="1" applyProtection="1">
      <alignment horizontal="left" vertical="top"/>
      <protection locked="0"/>
    </xf>
    <xf numFmtId="0" fontId="1" fillId="0" borderId="0" xfId="0" applyFont="1"/>
    <xf numFmtId="164" fontId="5" fillId="0" borderId="0" xfId="0" applyNumberFormat="1" applyFont="1" applyAlignment="1">
      <alignment horizontal="right"/>
    </xf>
    <xf numFmtId="164" fontId="2" fillId="2" borderId="1" xfId="1" applyNumberFormat="1" applyFill="1" applyBorder="1" applyAlignment="1" applyProtection="1">
      <alignment horizontal="center" vertical="center"/>
      <protection locked="0"/>
    </xf>
    <xf numFmtId="164" fontId="6" fillId="0" borderId="2" xfId="0" applyNumberFormat="1" applyFont="1" applyBorder="1" applyProtection="1">
      <protection locked="0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165" fontId="4" fillId="0" borderId="11" xfId="0" applyNumberFormat="1" applyFont="1" applyBorder="1" applyAlignment="1" applyProtection="1">
      <alignment horizontal="right"/>
      <protection locked="0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3" xfId="0" applyNumberFormat="1" applyFont="1" applyBorder="1" applyAlignment="1">
      <alignment horizontal="right" vertical="top" wrapText="1"/>
    </xf>
    <xf numFmtId="164" fontId="4" fillId="3" borderId="3" xfId="0" applyNumberFormat="1" applyFont="1" applyFill="1" applyBorder="1" applyAlignment="1" applyProtection="1">
      <alignment horizontal="right" wrapText="1"/>
      <protection locked="0"/>
    </xf>
    <xf numFmtId="165" fontId="4" fillId="3" borderId="0" xfId="0" applyNumberFormat="1" applyFont="1" applyFill="1" applyAlignment="1">
      <alignment vertical="justify"/>
    </xf>
    <xf numFmtId="0" fontId="4" fillId="0" borderId="8" xfId="0" applyFont="1" applyBorder="1"/>
    <xf numFmtId="165" fontId="4" fillId="3" borderId="9" xfId="0" applyNumberFormat="1" applyFont="1" applyFill="1" applyBorder="1" applyAlignment="1">
      <alignment vertical="justify"/>
    </xf>
    <xf numFmtId="165" fontId="4" fillId="3" borderId="3" xfId="0" applyNumberFormat="1" applyFont="1" applyFill="1" applyBorder="1" applyAlignment="1">
      <alignment vertical="justify"/>
    </xf>
    <xf numFmtId="165" fontId="4" fillId="3" borderId="2" xfId="0" applyNumberFormat="1" applyFont="1" applyFill="1" applyBorder="1" applyAlignment="1">
      <alignment vertical="justify"/>
    </xf>
    <xf numFmtId="164" fontId="4" fillId="0" borderId="4" xfId="0" applyNumberFormat="1" applyFont="1" applyBorder="1" applyAlignment="1" applyProtection="1">
      <alignment horizontal="center"/>
      <protection locked="0"/>
    </xf>
    <xf numFmtId="0" fontId="7" fillId="0" borderId="4" xfId="0" applyFont="1" applyBorder="1" applyAlignment="1">
      <alignment horizontal="center"/>
    </xf>
    <xf numFmtId="0" fontId="9" fillId="4" borderId="0" xfId="2" applyFont="1" applyFill="1"/>
    <xf numFmtId="0" fontId="11" fillId="0" borderId="6" xfId="3" applyFont="1" applyBorder="1" applyAlignment="1" applyProtection="1">
      <alignment horizontal="right"/>
    </xf>
    <xf numFmtId="0" fontId="9" fillId="0" borderId="0" xfId="2" applyFont="1"/>
    <xf numFmtId="0" fontId="12" fillId="4" borderId="0" xfId="2" applyFont="1" applyFill="1"/>
    <xf numFmtId="0" fontId="12" fillId="0" borderId="0" xfId="2" applyFont="1"/>
    <xf numFmtId="0" fontId="13" fillId="4" borderId="0" xfId="2" applyFont="1" applyFill="1"/>
    <xf numFmtId="0" fontId="13" fillId="4" borderId="2" xfId="2" applyFont="1" applyFill="1" applyBorder="1"/>
    <xf numFmtId="17" fontId="14" fillId="4" borderId="2" xfId="2" quotePrefix="1" applyNumberFormat="1" applyFont="1" applyFill="1" applyBorder="1" applyAlignment="1">
      <alignment horizontal="right"/>
    </xf>
    <xf numFmtId="0" fontId="15" fillId="5" borderId="1" xfId="2" applyFont="1" applyFill="1" applyBorder="1" applyAlignment="1">
      <alignment horizontal="left"/>
    </xf>
    <xf numFmtId="0" fontId="15" fillId="6" borderId="1" xfId="2" applyFont="1" applyFill="1" applyBorder="1"/>
    <xf numFmtId="0" fontId="16" fillId="0" borderId="1" xfId="1" applyFont="1" applyBorder="1"/>
    <xf numFmtId="0" fontId="15" fillId="7" borderId="1" xfId="2" applyFont="1" applyFill="1" applyBorder="1"/>
    <xf numFmtId="0" fontId="17" fillId="0" borderId="0" xfId="0" applyFont="1"/>
    <xf numFmtId="3" fontId="17" fillId="0" borderId="0" xfId="0" applyNumberFormat="1" applyFont="1"/>
    <xf numFmtId="10" fontId="17" fillId="0" borderId="0" xfId="0" applyNumberFormat="1" applyFont="1"/>
  </cellXfs>
  <cellStyles count="4">
    <cellStyle name="Hyperlink" xfId="1" builtinId="8"/>
    <cellStyle name="Hyperlink 2" xfId="3" xr:uid="{C9B7E165-4222-514B-B670-C6E4F7DE0317}"/>
    <cellStyle name="Normal" xfId="0" builtinId="0"/>
    <cellStyle name="Normal 2" xfId="2" xr:uid="{525AFAC2-8B67-0B41-817C-5C70F6850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applewebdata://90439E7E-5582-441F-8603-E7E7E4126FD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ns.gov.uk/on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E566-B670-5948-BB7D-4B6D80204B69}">
  <dimension ref="A1:M105"/>
  <sheetViews>
    <sheetView tabSelected="1" topLeftCell="G1" workbookViewId="0">
      <selection activeCell="I16" sqref="I16"/>
    </sheetView>
  </sheetViews>
  <sheetFormatPr baseColWidth="10" defaultRowHeight="16"/>
  <cols>
    <col min="1" max="1" width="32.1640625" customWidth="1"/>
    <col min="2" max="2" width="36.6640625" customWidth="1"/>
    <col min="3" max="3" width="51.1640625" customWidth="1"/>
    <col min="5" max="5" width="20" customWidth="1"/>
    <col min="6" max="6" width="18.1640625" customWidth="1"/>
    <col min="8" max="8" width="42.83203125" customWidth="1"/>
    <col min="9" max="9" width="23.1640625" customWidth="1"/>
    <col min="10" max="10" width="21.83203125" customWidth="1"/>
    <col min="11" max="11" width="54" customWidth="1"/>
    <col min="12" max="12" width="41.33203125" customWidth="1"/>
    <col min="13" max="13" width="29.1640625" customWidth="1"/>
  </cols>
  <sheetData>
    <row r="1" spans="1:13" ht="19" thickBot="1">
      <c r="A1" s="6" t="s">
        <v>324</v>
      </c>
      <c r="B1" s="9" t="s">
        <v>320</v>
      </c>
      <c r="C1" s="4" t="s">
        <v>323</v>
      </c>
      <c r="E1" s="22" t="s">
        <v>325</v>
      </c>
      <c r="F1" s="22" t="s">
        <v>326</v>
      </c>
      <c r="G1" s="22" t="s">
        <v>327</v>
      </c>
      <c r="H1" s="22" t="s">
        <v>1524</v>
      </c>
    </row>
    <row r="2" spans="1:13" ht="19" thickBot="1">
      <c r="A2" s="7" t="s">
        <v>4</v>
      </c>
      <c r="B2" s="13">
        <v>3870</v>
      </c>
      <c r="C2" s="20">
        <v>41679</v>
      </c>
      <c r="E2">
        <f>(C2/B2)</f>
        <v>10.769767441860465</v>
      </c>
      <c r="F2" t="s">
        <v>328</v>
      </c>
      <c r="G2">
        <f>SUM(C2:C4)/SUM(B2:B4)</f>
        <v>9.5340909090909083</v>
      </c>
      <c r="H2">
        <f>SUM(G2:G105)/10</f>
        <v>6.0433878518369371</v>
      </c>
      <c r="I2" s="51" t="s">
        <v>1525</v>
      </c>
      <c r="J2" s="51" t="s">
        <v>1526</v>
      </c>
      <c r="K2" s="51" t="s">
        <v>1540</v>
      </c>
      <c r="L2" s="51" t="s">
        <v>1538</v>
      </c>
      <c r="M2" s="51" t="s">
        <v>1539</v>
      </c>
    </row>
    <row r="3" spans="1:13" ht="19" thickBot="1">
      <c r="A3" s="8" t="s">
        <v>5</v>
      </c>
      <c r="B3" s="13">
        <v>529</v>
      </c>
      <c r="C3" s="20">
        <v>2252</v>
      </c>
      <c r="E3">
        <f>(C3/B3)</f>
        <v>4.2570888468809072</v>
      </c>
      <c r="I3" s="51" t="s">
        <v>1527</v>
      </c>
      <c r="J3" s="52">
        <v>4840</v>
      </c>
      <c r="K3" s="53">
        <v>3.5999999999999999E-3</v>
      </c>
      <c r="L3" s="51">
        <v>9.5299999999999994</v>
      </c>
      <c r="M3" s="51">
        <v>3.5000000000000003E-2</v>
      </c>
    </row>
    <row r="4" spans="1:13" ht="19" thickBot="1">
      <c r="A4" s="8" t="s">
        <v>6</v>
      </c>
      <c r="B4" s="13">
        <v>441</v>
      </c>
      <c r="C4" s="20">
        <v>2214</v>
      </c>
      <c r="E4">
        <f>(C4/B4)</f>
        <v>5.0204081632653059</v>
      </c>
      <c r="I4" s="51" t="s">
        <v>1528</v>
      </c>
      <c r="J4" s="52">
        <v>157871</v>
      </c>
      <c r="K4" s="53">
        <v>0.1187</v>
      </c>
      <c r="L4" s="51">
        <v>6.46</v>
      </c>
      <c r="M4" s="51">
        <v>0.76600000000000001</v>
      </c>
    </row>
    <row r="5" spans="1:13" ht="19" thickBot="1">
      <c r="A5" s="8" t="s">
        <v>7</v>
      </c>
      <c r="B5" s="13">
        <v>31</v>
      </c>
      <c r="C5" s="20">
        <v>100</v>
      </c>
      <c r="E5">
        <f>(C5/B5)</f>
        <v>3.225806451612903</v>
      </c>
      <c r="F5" t="s">
        <v>329</v>
      </c>
      <c r="G5">
        <f>SUM(C5:C56)/SUM(B5:B56)</f>
        <v>6.4555111451754916</v>
      </c>
      <c r="I5" s="51" t="s">
        <v>1529</v>
      </c>
      <c r="J5" s="52">
        <v>60509</v>
      </c>
      <c r="K5" s="53">
        <v>4.5499999999999999E-2</v>
      </c>
      <c r="L5" s="51">
        <v>6.65</v>
      </c>
      <c r="M5" s="51">
        <v>0.30199999999999999</v>
      </c>
    </row>
    <row r="6" spans="1:13" ht="19" thickBot="1">
      <c r="A6" s="8" t="s">
        <v>8</v>
      </c>
      <c r="B6" s="13">
        <v>2211</v>
      </c>
      <c r="C6" s="20">
        <v>39008</v>
      </c>
      <c r="E6">
        <f>(C6/B6)</f>
        <v>17.642695612844868</v>
      </c>
      <c r="I6" s="51" t="s">
        <v>1530</v>
      </c>
      <c r="J6" s="52">
        <v>265598</v>
      </c>
      <c r="K6" s="53">
        <v>0.19969999999999999</v>
      </c>
      <c r="L6" s="51">
        <v>2.95</v>
      </c>
      <c r="M6" s="51">
        <v>0.59</v>
      </c>
    </row>
    <row r="7" spans="1:13" ht="19" thickBot="1">
      <c r="A7" s="8" t="s">
        <v>9</v>
      </c>
      <c r="B7" s="13">
        <v>1180</v>
      </c>
      <c r="C7" s="20">
        <v>7525</v>
      </c>
      <c r="E7">
        <f>(C7/B7)</f>
        <v>6.3771186440677967</v>
      </c>
      <c r="I7" s="51" t="s">
        <v>1531</v>
      </c>
      <c r="J7" s="52">
        <v>100567</v>
      </c>
      <c r="K7" s="53">
        <v>7.5600000000000001E-2</v>
      </c>
      <c r="L7" s="51">
        <v>2.97</v>
      </c>
      <c r="M7" s="51">
        <v>0.22500000000000001</v>
      </c>
    </row>
    <row r="8" spans="1:13" ht="19" thickBot="1">
      <c r="A8" s="8" t="s">
        <v>10</v>
      </c>
      <c r="B8" s="13">
        <v>1406</v>
      </c>
      <c r="C8" s="20">
        <v>5222</v>
      </c>
      <c r="E8">
        <f>(C8/B8)</f>
        <v>3.7140825035561877</v>
      </c>
      <c r="I8" s="51" t="s">
        <v>1532</v>
      </c>
      <c r="J8" s="52">
        <v>99037</v>
      </c>
      <c r="K8" s="53">
        <v>7.4499999999999997E-2</v>
      </c>
      <c r="L8" s="51">
        <v>3.91</v>
      </c>
      <c r="M8" s="51">
        <v>0.29099999999999998</v>
      </c>
    </row>
    <row r="9" spans="1:13" ht="19" thickBot="1">
      <c r="A9" s="8" t="s">
        <v>11</v>
      </c>
      <c r="B9" s="13">
        <v>4169</v>
      </c>
      <c r="C9" s="20">
        <v>25821</v>
      </c>
      <c r="E9">
        <f>(C9/B9)</f>
        <v>6.1935715999040539</v>
      </c>
      <c r="I9" s="51" t="s">
        <v>1533</v>
      </c>
      <c r="J9" s="52">
        <v>20114</v>
      </c>
      <c r="K9" s="53">
        <v>1.5100000000000001E-2</v>
      </c>
      <c r="L9" s="51">
        <v>20.05</v>
      </c>
      <c r="M9" s="51">
        <v>0.30299999999999999</v>
      </c>
    </row>
    <row r="10" spans="1:13" ht="19" thickBot="1">
      <c r="A10" s="8" t="s">
        <v>12</v>
      </c>
      <c r="B10" s="13">
        <v>1894</v>
      </c>
      <c r="C10" s="20">
        <v>11125</v>
      </c>
      <c r="E10">
        <f>(C10/B10)</f>
        <v>5.8738120380147834</v>
      </c>
      <c r="I10" s="51" t="s">
        <v>1534</v>
      </c>
      <c r="J10" s="52">
        <v>215043</v>
      </c>
      <c r="K10" s="53">
        <v>0.16170000000000001</v>
      </c>
      <c r="L10" s="51">
        <v>2.79</v>
      </c>
      <c r="M10" s="51">
        <v>0.45100000000000001</v>
      </c>
    </row>
    <row r="11" spans="1:13" ht="19" thickBot="1">
      <c r="A11" s="8" t="s">
        <v>13</v>
      </c>
      <c r="B11" s="13">
        <v>121</v>
      </c>
      <c r="C11" s="20">
        <v>1285</v>
      </c>
      <c r="E11">
        <f>(C11/B11)</f>
        <v>10.619834710743802</v>
      </c>
      <c r="I11" s="51" t="s">
        <v>1535</v>
      </c>
      <c r="J11" s="52">
        <v>366475</v>
      </c>
      <c r="K11" s="53">
        <v>0.27560000000000001</v>
      </c>
      <c r="L11" s="51">
        <v>2.0699999999999998</v>
      </c>
      <c r="M11" s="51">
        <v>0.56999999999999995</v>
      </c>
    </row>
    <row r="12" spans="1:13" ht="19" thickBot="1">
      <c r="A12" s="8" t="s">
        <v>14</v>
      </c>
      <c r="B12" s="13">
        <v>1462</v>
      </c>
      <c r="C12" s="20">
        <v>13626</v>
      </c>
      <c r="E12">
        <f>(C12/B12)</f>
        <v>9.3201094391244865</v>
      </c>
      <c r="I12" s="51" t="s">
        <v>1536</v>
      </c>
      <c r="J12" s="52">
        <v>39724</v>
      </c>
      <c r="K12" s="53">
        <v>2.9899999999999999E-2</v>
      </c>
      <c r="L12" s="51">
        <v>3.06</v>
      </c>
      <c r="M12" s="51">
        <v>9.0999999999999998E-2</v>
      </c>
    </row>
    <row r="13" spans="1:13" ht="19" thickBot="1">
      <c r="A13" s="8" t="s">
        <v>15</v>
      </c>
      <c r="B13" s="13">
        <v>956</v>
      </c>
      <c r="C13" s="20">
        <v>7894</v>
      </c>
      <c r="E13">
        <f>(C13/B13)</f>
        <v>8.2573221757322184</v>
      </c>
      <c r="I13" s="51" t="s">
        <v>1537</v>
      </c>
      <c r="J13" s="52">
        <v>1329778</v>
      </c>
      <c r="K13" s="53">
        <v>1</v>
      </c>
      <c r="L13" s="51"/>
      <c r="M13" s="51" t="s">
        <v>1541</v>
      </c>
    </row>
    <row r="14" spans="1:13" ht="19" thickBot="1">
      <c r="A14" s="8" t="s">
        <v>16</v>
      </c>
      <c r="B14" s="13">
        <v>3490</v>
      </c>
      <c r="C14" s="20">
        <v>13999</v>
      </c>
      <c r="E14">
        <f>(C14/B14)</f>
        <v>4.0111747851002866</v>
      </c>
    </row>
    <row r="15" spans="1:13" ht="19" thickBot="1">
      <c r="A15" s="8" t="s">
        <v>17</v>
      </c>
      <c r="B15" s="13">
        <v>5513</v>
      </c>
      <c r="C15" s="20">
        <v>24291</v>
      </c>
      <c r="E15">
        <f>(C15/B15)</f>
        <v>4.4061309631779428</v>
      </c>
    </row>
    <row r="16" spans="1:13" ht="19" thickBot="1">
      <c r="A16" s="8" t="s">
        <v>18</v>
      </c>
      <c r="B16" s="13">
        <v>905</v>
      </c>
      <c r="C16" s="20">
        <v>9582</v>
      </c>
      <c r="E16">
        <f>(C16/B16)</f>
        <v>10.587845303867404</v>
      </c>
    </row>
    <row r="17" spans="1:5" ht="19" thickBot="1">
      <c r="A17" s="8" t="s">
        <v>19</v>
      </c>
      <c r="B17" s="13">
        <v>2377</v>
      </c>
      <c r="C17" s="20">
        <v>17723</v>
      </c>
      <c r="E17">
        <f>(C17/B17)</f>
        <v>7.4560370214556162</v>
      </c>
    </row>
    <row r="18" spans="1:5" ht="19" thickBot="1">
      <c r="A18" s="8" t="s">
        <v>20</v>
      </c>
      <c r="B18" s="13">
        <v>872</v>
      </c>
      <c r="C18" s="20">
        <v>7260</v>
      </c>
      <c r="E18">
        <f>(C18/B18)</f>
        <v>8.3256880733944953</v>
      </c>
    </row>
    <row r="19" spans="1:5" ht="19" thickBot="1">
      <c r="A19" s="8" t="s">
        <v>21</v>
      </c>
      <c r="B19" s="13">
        <v>2431</v>
      </c>
      <c r="C19" s="20">
        <v>7552</v>
      </c>
      <c r="E19">
        <f>(C19/B19)</f>
        <v>3.1065405183052244</v>
      </c>
    </row>
    <row r="20" spans="1:5" ht="19" thickBot="1">
      <c r="A20" s="8" t="s">
        <v>22</v>
      </c>
      <c r="B20" s="13">
        <v>1416</v>
      </c>
      <c r="C20" s="20">
        <v>3430</v>
      </c>
      <c r="E20">
        <f>(C20/B20)</f>
        <v>2.4223163841807911</v>
      </c>
    </row>
    <row r="21" spans="1:5" ht="19" thickBot="1">
      <c r="A21" s="8" t="s">
        <v>23</v>
      </c>
      <c r="B21" s="13">
        <v>289</v>
      </c>
      <c r="C21" s="20">
        <v>1025</v>
      </c>
      <c r="E21">
        <f>(C21/B21)</f>
        <v>3.546712802768166</v>
      </c>
    </row>
    <row r="22" spans="1:5" ht="19" thickBot="1">
      <c r="A22" s="8" t="s">
        <v>24</v>
      </c>
      <c r="B22" s="13">
        <v>2509</v>
      </c>
      <c r="C22" s="20">
        <v>11153</v>
      </c>
      <c r="E22">
        <f>(C22/B22)</f>
        <v>4.4451972897568757</v>
      </c>
    </row>
    <row r="23" spans="1:5" ht="19" thickBot="1">
      <c r="A23" s="8" t="s">
        <v>25</v>
      </c>
      <c r="B23" s="13">
        <v>2973</v>
      </c>
      <c r="C23" s="20">
        <v>14237</v>
      </c>
      <c r="E23">
        <f>(C23/B23)</f>
        <v>4.7887655566767577</v>
      </c>
    </row>
    <row r="24" spans="1:5" ht="19" thickBot="1">
      <c r="A24" s="8" t="s">
        <v>26</v>
      </c>
      <c r="B24" s="13">
        <v>2794</v>
      </c>
      <c r="C24" s="20">
        <v>10443</v>
      </c>
      <c r="E24">
        <f>(C24/B24)</f>
        <v>3.7376521116678596</v>
      </c>
    </row>
    <row r="25" spans="1:5" ht="19" thickBot="1">
      <c r="A25" s="8" t="s">
        <v>27</v>
      </c>
      <c r="B25" s="13">
        <v>744</v>
      </c>
      <c r="C25" s="20">
        <v>35245</v>
      </c>
      <c r="E25">
        <f>(C25/B25)</f>
        <v>47.372311827956992</v>
      </c>
    </row>
    <row r="26" spans="1:5" ht="19" thickBot="1">
      <c r="A26" s="8" t="s">
        <v>28</v>
      </c>
      <c r="B26" s="13">
        <v>1206</v>
      </c>
      <c r="C26" s="20">
        <v>4074</v>
      </c>
      <c r="E26">
        <f>(C26/B26)</f>
        <v>3.3781094527363185</v>
      </c>
    </row>
    <row r="27" spans="1:5" ht="19" thickBot="1">
      <c r="A27" s="8" t="s">
        <v>29</v>
      </c>
      <c r="B27" s="13">
        <v>1967</v>
      </c>
      <c r="C27" s="20">
        <v>8988</v>
      </c>
      <c r="E27">
        <f>(C27/B27)</f>
        <v>4.5693950177935942</v>
      </c>
    </row>
    <row r="28" spans="1:5" ht="19" thickBot="1">
      <c r="A28" s="8" t="s">
        <v>30</v>
      </c>
      <c r="B28" s="13">
        <v>949</v>
      </c>
      <c r="C28" s="20">
        <v>6681</v>
      </c>
      <c r="E28">
        <f>(C28/B28)</f>
        <v>7.0400421496311907</v>
      </c>
    </row>
    <row r="29" spans="1:5" ht="19" thickBot="1">
      <c r="A29" s="8" t="s">
        <v>31</v>
      </c>
      <c r="B29" s="13">
        <v>605</v>
      </c>
      <c r="C29" s="20">
        <v>5354</v>
      </c>
      <c r="E29">
        <f>(C29/B29)</f>
        <v>8.8495867768595033</v>
      </c>
    </row>
    <row r="30" spans="1:5" ht="19" thickBot="1">
      <c r="A30" s="8" t="s">
        <v>32</v>
      </c>
      <c r="B30" s="13">
        <v>1505</v>
      </c>
      <c r="C30" s="20">
        <v>10759</v>
      </c>
      <c r="E30">
        <f>(C30/B30)</f>
        <v>7.148837209302326</v>
      </c>
    </row>
    <row r="31" spans="1:5" ht="19" thickBot="1">
      <c r="A31" s="8" t="s">
        <v>33</v>
      </c>
      <c r="B31" s="13">
        <v>500</v>
      </c>
      <c r="C31" s="20">
        <v>2394</v>
      </c>
      <c r="E31">
        <f>(C31/B31)</f>
        <v>4.7880000000000003</v>
      </c>
    </row>
    <row r="32" spans="1:5" ht="19" thickBot="1">
      <c r="A32" s="8" t="s">
        <v>34</v>
      </c>
      <c r="B32" s="13">
        <v>7168</v>
      </c>
      <c r="C32" s="20">
        <v>52190</v>
      </c>
      <c r="E32">
        <f>(C32/B32)</f>
        <v>7.2809709821428568</v>
      </c>
    </row>
    <row r="33" spans="1:5" ht="19" thickBot="1">
      <c r="A33" s="8" t="s">
        <v>35</v>
      </c>
      <c r="B33" s="13">
        <v>6357</v>
      </c>
      <c r="C33" s="20">
        <v>26997</v>
      </c>
      <c r="E33">
        <f>(C33/B33)</f>
        <v>4.2468145351580935</v>
      </c>
    </row>
    <row r="34" spans="1:5" ht="19" thickBot="1">
      <c r="A34" s="8" t="s">
        <v>36</v>
      </c>
      <c r="B34" s="13">
        <v>1916</v>
      </c>
      <c r="C34" s="20">
        <v>9442</v>
      </c>
      <c r="E34">
        <f>(C34/B34)</f>
        <v>4.9279749478079333</v>
      </c>
    </row>
    <row r="35" spans="1:5" ht="19" thickBot="1">
      <c r="A35" s="8" t="s">
        <v>37</v>
      </c>
      <c r="B35" s="13">
        <v>2184</v>
      </c>
      <c r="C35" s="20">
        <v>8877</v>
      </c>
      <c r="E35">
        <f>(C35/B35)</f>
        <v>4.0645604395604398</v>
      </c>
    </row>
    <row r="36" spans="1:5" ht="19" thickBot="1">
      <c r="A36" s="8" t="s">
        <v>38</v>
      </c>
      <c r="B36" s="13">
        <v>1936</v>
      </c>
      <c r="C36" s="20">
        <v>10379</v>
      </c>
      <c r="E36">
        <f>(C36/B36)</f>
        <v>5.3610537190082646</v>
      </c>
    </row>
    <row r="37" spans="1:5" ht="19" thickBot="1">
      <c r="A37" s="8" t="s">
        <v>39</v>
      </c>
      <c r="B37" s="13">
        <v>1451</v>
      </c>
      <c r="C37" s="20">
        <v>6997</v>
      </c>
      <c r="E37">
        <f>(C37/B37)</f>
        <v>4.8221915920055132</v>
      </c>
    </row>
    <row r="38" spans="1:5" ht="19" thickBot="1">
      <c r="A38" s="8" t="s">
        <v>40</v>
      </c>
      <c r="B38" s="13">
        <v>12971</v>
      </c>
      <c r="C38" s="20">
        <v>42801</v>
      </c>
      <c r="E38">
        <f>(C38/B38)</f>
        <v>3.2997455863079175</v>
      </c>
    </row>
    <row r="39" spans="1:5" ht="19" thickBot="1">
      <c r="A39" s="8" t="s">
        <v>41</v>
      </c>
      <c r="B39" s="13">
        <v>11135</v>
      </c>
      <c r="C39" s="20">
        <v>27145</v>
      </c>
      <c r="E39">
        <f>(C39/B39)</f>
        <v>2.437808711270768</v>
      </c>
    </row>
    <row r="40" spans="1:5" ht="19" thickBot="1">
      <c r="A40" s="8" t="s">
        <v>42</v>
      </c>
      <c r="B40" s="13">
        <v>4349</v>
      </c>
      <c r="C40" s="20">
        <v>17221</v>
      </c>
      <c r="E40">
        <f>(C40/B40)</f>
        <v>3.959760864566567</v>
      </c>
    </row>
    <row r="41" spans="1:5" ht="19" thickBot="1">
      <c r="A41" s="8" t="s">
        <v>43</v>
      </c>
      <c r="B41" s="13">
        <v>10612</v>
      </c>
      <c r="C41" s="20">
        <v>44593</v>
      </c>
      <c r="E41">
        <f>(C41/B41)</f>
        <v>4.2021296645307196</v>
      </c>
    </row>
    <row r="42" spans="1:5" ht="19" thickBot="1">
      <c r="A42" s="8" t="s">
        <v>44</v>
      </c>
      <c r="B42" s="13">
        <v>10025</v>
      </c>
      <c r="C42" s="20">
        <v>74898</v>
      </c>
      <c r="E42">
        <f>(C42/B42)</f>
        <v>7.4711221945137156</v>
      </c>
    </row>
    <row r="43" spans="1:5" ht="19" thickBot="1">
      <c r="A43" s="8" t="s">
        <v>45</v>
      </c>
      <c r="B43" s="13">
        <v>2033</v>
      </c>
      <c r="C43" s="20">
        <v>6091</v>
      </c>
      <c r="E43">
        <f>(C43/B43)</f>
        <v>2.9960649286768324</v>
      </c>
    </row>
    <row r="44" spans="1:5" ht="19" thickBot="1">
      <c r="A44" s="8" t="s">
        <v>46</v>
      </c>
      <c r="B44" s="13">
        <v>5519</v>
      </c>
      <c r="C44" s="20">
        <v>28607</v>
      </c>
      <c r="E44">
        <f>(C44/B44)</f>
        <v>5.1833665519115781</v>
      </c>
    </row>
    <row r="45" spans="1:5" ht="19" thickBot="1">
      <c r="A45" s="8" t="s">
        <v>47</v>
      </c>
      <c r="B45" s="13">
        <v>564</v>
      </c>
      <c r="C45" s="20">
        <v>2428</v>
      </c>
      <c r="E45">
        <f>(C45/B45)</f>
        <v>4.3049645390070923</v>
      </c>
    </row>
    <row r="46" spans="1:5" ht="19" thickBot="1">
      <c r="A46" s="8" t="s">
        <v>48</v>
      </c>
      <c r="B46" s="13">
        <v>3179</v>
      </c>
      <c r="C46" s="20">
        <v>9684</v>
      </c>
      <c r="E46">
        <f>(C46/B46)</f>
        <v>3.0462409562755584</v>
      </c>
    </row>
    <row r="47" spans="1:5" ht="19" thickBot="1">
      <c r="A47" s="8" t="s">
        <v>49</v>
      </c>
      <c r="B47" s="13">
        <v>3932</v>
      </c>
      <c r="C47" s="20">
        <v>13519</v>
      </c>
      <c r="E47">
        <f>(C47/B47)</f>
        <v>3.4381993896236014</v>
      </c>
    </row>
    <row r="48" spans="1:5" ht="19" thickBot="1">
      <c r="A48" s="8" t="s">
        <v>50</v>
      </c>
      <c r="B48" s="13">
        <v>774</v>
      </c>
      <c r="C48" s="20">
        <v>1747</v>
      </c>
      <c r="E48">
        <f>(C48/B48)</f>
        <v>2.2571059431524549</v>
      </c>
    </row>
    <row r="49" spans="1:7" ht="19" thickBot="1">
      <c r="A49" s="8" t="s">
        <v>51</v>
      </c>
      <c r="B49" s="13">
        <v>1330</v>
      </c>
      <c r="C49" s="20">
        <v>4725</v>
      </c>
      <c r="E49">
        <f>(C49/B49)</f>
        <v>3.5526315789473686</v>
      </c>
    </row>
    <row r="50" spans="1:7" ht="19" thickBot="1">
      <c r="A50" s="8" t="s">
        <v>52</v>
      </c>
      <c r="B50" s="13">
        <v>4853</v>
      </c>
      <c r="C50" s="20">
        <v>15866</v>
      </c>
      <c r="E50">
        <f>(C50/B50)</f>
        <v>3.2693179476612406</v>
      </c>
    </row>
    <row r="51" spans="1:7" ht="19" thickBot="1">
      <c r="A51" s="8" t="s">
        <v>53</v>
      </c>
      <c r="B51" s="13">
        <v>6251</v>
      </c>
      <c r="C51" s="20">
        <v>185751</v>
      </c>
      <c r="E51">
        <f>(C51/B51)</f>
        <v>29.715405535114382</v>
      </c>
    </row>
    <row r="52" spans="1:7" ht="19" thickBot="1">
      <c r="A52" s="8" t="s">
        <v>54</v>
      </c>
      <c r="B52" s="13">
        <v>1562</v>
      </c>
      <c r="C52" s="20">
        <v>66089</v>
      </c>
      <c r="E52">
        <f>(C52/B52)</f>
        <v>42.310499359795138</v>
      </c>
    </row>
    <row r="53" spans="1:7" ht="19" thickBot="1">
      <c r="A53" s="8" t="s">
        <v>55</v>
      </c>
      <c r="B53" s="13">
        <v>2592</v>
      </c>
      <c r="C53" s="20">
        <v>13563</v>
      </c>
      <c r="E53">
        <f>(C53/B53)</f>
        <v>5.2326388888888893</v>
      </c>
    </row>
    <row r="54" spans="1:7" ht="19" thickBot="1">
      <c r="A54" s="8" t="s">
        <v>56</v>
      </c>
      <c r="B54" s="13">
        <v>2026</v>
      </c>
      <c r="C54" s="20">
        <v>11399</v>
      </c>
      <c r="E54">
        <f>(C54/B54)</f>
        <v>5.6263573543928924</v>
      </c>
    </row>
    <row r="55" spans="1:7" ht="19" thickBot="1">
      <c r="A55" s="8" t="s">
        <v>57</v>
      </c>
      <c r="B55" s="13">
        <v>6429</v>
      </c>
      <c r="C55" s="20">
        <v>31039</v>
      </c>
      <c r="E55">
        <f>(C55/B55)</f>
        <v>4.8279670244205946</v>
      </c>
    </row>
    <row r="56" spans="1:7" ht="19" thickBot="1">
      <c r="A56" s="8" t="s">
        <v>58</v>
      </c>
      <c r="B56" s="13">
        <v>248</v>
      </c>
      <c r="C56" s="20">
        <v>1294</v>
      </c>
      <c r="E56">
        <f>(C56/B56)</f>
        <v>5.217741935483871</v>
      </c>
    </row>
    <row r="57" spans="1:7" ht="19" thickBot="1">
      <c r="A57" s="8" t="s">
        <v>59</v>
      </c>
      <c r="B57" s="13">
        <v>60509</v>
      </c>
      <c r="C57" s="20">
        <v>402184</v>
      </c>
      <c r="E57">
        <f>(C57/B57)</f>
        <v>6.6466806590755096</v>
      </c>
      <c r="F57" t="s">
        <v>330</v>
      </c>
      <c r="G57">
        <f>C57/B57</f>
        <v>6.6466806590755096</v>
      </c>
    </row>
    <row r="58" spans="1:7" ht="19" thickBot="1">
      <c r="A58" s="8" t="s">
        <v>60</v>
      </c>
      <c r="B58" s="13">
        <v>25758</v>
      </c>
      <c r="C58" s="20">
        <v>69547</v>
      </c>
      <c r="E58">
        <f>(C58/B58)</f>
        <v>2.7000155291559902</v>
      </c>
      <c r="F58" t="s">
        <v>331</v>
      </c>
      <c r="G58">
        <f>SUM(C58:C68)/SUM(B58:B68)</f>
        <v>2.9519009932303706</v>
      </c>
    </row>
    <row r="59" spans="1:7" ht="19" thickBot="1">
      <c r="A59" s="8" t="s">
        <v>61</v>
      </c>
      <c r="B59" s="13">
        <v>58652</v>
      </c>
      <c r="C59" s="20">
        <v>183955</v>
      </c>
      <c r="E59">
        <f>(C59/B59)</f>
        <v>3.1363806860806109</v>
      </c>
    </row>
    <row r="60" spans="1:7" ht="19" thickBot="1">
      <c r="A60" s="8" t="s">
        <v>62</v>
      </c>
      <c r="B60" s="13">
        <v>67458</v>
      </c>
      <c r="C60" s="20">
        <v>188414</v>
      </c>
      <c r="E60">
        <f>(C60/B60)</f>
        <v>2.7930564202911441</v>
      </c>
    </row>
    <row r="61" spans="1:7" ht="19" thickBot="1">
      <c r="A61" s="8" t="s">
        <v>63</v>
      </c>
      <c r="B61" s="13">
        <v>4771</v>
      </c>
      <c r="C61" s="20">
        <v>15544</v>
      </c>
      <c r="E61">
        <f>(C61/B61)</f>
        <v>3.2580171871725003</v>
      </c>
    </row>
    <row r="62" spans="1:7" ht="19" thickBot="1">
      <c r="A62" s="8" t="s">
        <v>64</v>
      </c>
      <c r="B62" s="13">
        <v>20772</v>
      </c>
      <c r="C62" s="20">
        <v>60244</v>
      </c>
      <c r="E62">
        <f>(C62/B62)</f>
        <v>2.9002503369921047</v>
      </c>
    </row>
    <row r="63" spans="1:7" ht="19" thickBot="1">
      <c r="A63" s="8" t="s">
        <v>65</v>
      </c>
      <c r="B63" s="13">
        <v>3575</v>
      </c>
      <c r="C63" s="20">
        <v>18383</v>
      </c>
      <c r="E63">
        <f>(C63/B63)</f>
        <v>5.1420979020979019</v>
      </c>
    </row>
    <row r="64" spans="1:7" ht="19" thickBot="1">
      <c r="A64" s="8" t="s">
        <v>66</v>
      </c>
      <c r="B64" s="13">
        <v>3390</v>
      </c>
      <c r="C64" s="20">
        <v>26353</v>
      </c>
      <c r="E64">
        <f>(C64/B64)</f>
        <v>7.7737463126843656</v>
      </c>
    </row>
    <row r="65" spans="1:7" ht="19" thickBot="1">
      <c r="A65" s="8" t="s">
        <v>67</v>
      </c>
      <c r="B65" s="13">
        <v>20811</v>
      </c>
      <c r="C65" s="20">
        <v>63645</v>
      </c>
      <c r="E65">
        <f>(C65/B65)</f>
        <v>3.0582384315986739</v>
      </c>
    </row>
    <row r="66" spans="1:7" ht="19" thickBot="1">
      <c r="A66" s="8" t="s">
        <v>68</v>
      </c>
      <c r="B66" s="13">
        <v>8947</v>
      </c>
      <c r="C66" s="20">
        <v>25010</v>
      </c>
      <c r="E66">
        <f>(C66/B66)</f>
        <v>2.795350396781044</v>
      </c>
    </row>
    <row r="67" spans="1:7" ht="19" thickBot="1">
      <c r="A67" s="8" t="s">
        <v>69</v>
      </c>
      <c r="B67" s="13">
        <v>12816</v>
      </c>
      <c r="C67" s="20">
        <v>38114</v>
      </c>
      <c r="E67">
        <f>(C67/B67)</f>
        <v>2.9739388264669162</v>
      </c>
    </row>
    <row r="68" spans="1:7" ht="19" thickBot="1">
      <c r="A68" s="8" t="s">
        <v>70</v>
      </c>
      <c r="B68" s="13">
        <v>38648</v>
      </c>
      <c r="C68" s="20">
        <v>94810</v>
      </c>
      <c r="E68">
        <f>(C68/B68)</f>
        <v>2.4531670461602153</v>
      </c>
    </row>
    <row r="69" spans="1:7" ht="19" thickBot="1">
      <c r="A69" s="8" t="s">
        <v>71</v>
      </c>
      <c r="B69" s="13">
        <v>8250</v>
      </c>
      <c r="C69" s="20">
        <v>24154</v>
      </c>
      <c r="E69">
        <f>(C69/B69)</f>
        <v>2.9277575757575756</v>
      </c>
      <c r="F69" t="s">
        <v>332</v>
      </c>
      <c r="G69">
        <f>SUM(C69:C73)/SUM(B69:B73)</f>
        <v>2.969184722622729</v>
      </c>
    </row>
    <row r="70" spans="1:7" ht="19" thickBot="1">
      <c r="A70" s="8" t="s">
        <v>72</v>
      </c>
      <c r="B70" s="13">
        <v>11809</v>
      </c>
      <c r="C70" s="20">
        <v>64212</v>
      </c>
      <c r="E70">
        <f>(C70/B70)</f>
        <v>5.4375476331611479</v>
      </c>
    </row>
    <row r="71" spans="1:7" ht="19" thickBot="1">
      <c r="A71" s="8" t="s">
        <v>73</v>
      </c>
      <c r="B71" s="13">
        <v>18769</v>
      </c>
      <c r="C71" s="20">
        <v>62763</v>
      </c>
      <c r="E71">
        <f>(C71/B71)</f>
        <v>3.3439714422718314</v>
      </c>
    </row>
    <row r="72" spans="1:7" ht="19" thickBot="1">
      <c r="A72" s="8" t="s">
        <v>74</v>
      </c>
      <c r="B72" s="13">
        <v>54875</v>
      </c>
      <c r="C72" s="20">
        <v>126800</v>
      </c>
      <c r="E72">
        <f>(C72/B72)</f>
        <v>2.3107061503416855</v>
      </c>
    </row>
    <row r="73" spans="1:7" ht="19" thickBot="1">
      <c r="A73" s="8" t="s">
        <v>75</v>
      </c>
      <c r="B73" s="13">
        <v>6864</v>
      </c>
      <c r="C73" s="20">
        <v>20673</v>
      </c>
      <c r="E73">
        <f>(C73/B73)</f>
        <v>3.0118006993006992</v>
      </c>
    </row>
    <row r="74" spans="1:7" ht="19" thickBot="1">
      <c r="A74" s="8" t="s">
        <v>76</v>
      </c>
      <c r="B74" s="13">
        <v>53027</v>
      </c>
      <c r="C74" s="20">
        <v>196423</v>
      </c>
      <c r="E74">
        <f>(C74/B74)</f>
        <v>3.7042072906255306</v>
      </c>
      <c r="F74" t="s">
        <v>333</v>
      </c>
      <c r="G74">
        <f>SUM(C74:C76)/SUM(B74:B76)</f>
        <v>3.9054595757141271</v>
      </c>
    </row>
    <row r="75" spans="1:7" ht="19" thickBot="1">
      <c r="A75" s="9" t="s">
        <v>77</v>
      </c>
      <c r="B75" s="13">
        <v>10349</v>
      </c>
      <c r="C75" s="20">
        <v>87264</v>
      </c>
      <c r="E75">
        <f>(C75/B75)</f>
        <v>8.4321190453183874</v>
      </c>
    </row>
    <row r="76" spans="1:7" ht="19" thickBot="1">
      <c r="A76" s="8" t="s">
        <v>78</v>
      </c>
      <c r="B76" s="13">
        <v>35661</v>
      </c>
      <c r="C76" s="20">
        <v>103098</v>
      </c>
      <c r="E76">
        <f>(C76/B76)</f>
        <v>2.8910574577269288</v>
      </c>
    </row>
    <row r="77" spans="1:7" ht="19" thickBot="1">
      <c r="A77" s="8" t="s">
        <v>79</v>
      </c>
      <c r="B77" s="13">
        <v>14627</v>
      </c>
      <c r="C77" s="20">
        <v>128082</v>
      </c>
      <c r="E77">
        <f>(C77/B77)</f>
        <v>8.7565461133520195</v>
      </c>
      <c r="F77" t="s">
        <v>334</v>
      </c>
      <c r="G77">
        <f>SUM(C77:C79)/SUM(B77:B79)</f>
        <v>20.05354479467038</v>
      </c>
    </row>
    <row r="78" spans="1:7" ht="19" thickBot="1">
      <c r="A78" s="8" t="s">
        <v>80</v>
      </c>
      <c r="B78" s="13">
        <v>0</v>
      </c>
      <c r="C78" s="20">
        <v>260111</v>
      </c>
      <c r="E78" t="e">
        <f>(C78/B78)</f>
        <v>#DIV/0!</v>
      </c>
    </row>
    <row r="79" spans="1:7" ht="19" thickBot="1">
      <c r="A79" s="8" t="s">
        <v>81</v>
      </c>
      <c r="B79" s="13">
        <v>5487</v>
      </c>
      <c r="C79" s="20">
        <v>15164</v>
      </c>
      <c r="E79">
        <f>(C79/B79)</f>
        <v>2.7636231091671224</v>
      </c>
    </row>
    <row r="80" spans="1:7" ht="19" thickBot="1">
      <c r="A80" s="8" t="s">
        <v>82</v>
      </c>
      <c r="B80" s="13">
        <v>16824</v>
      </c>
      <c r="C80" s="20">
        <v>47283</v>
      </c>
      <c r="E80">
        <f>(C80/B80)</f>
        <v>2.8104493580599144</v>
      </c>
      <c r="F80" t="s">
        <v>335</v>
      </c>
      <c r="G80">
        <f>SUM(C80:C93)/SUM(B80:B93)</f>
        <v>2.7894839636723816</v>
      </c>
    </row>
    <row r="81" spans="1:7" ht="19" thickBot="1">
      <c r="A81" s="8" t="s">
        <v>83</v>
      </c>
      <c r="B81" s="13">
        <v>24652</v>
      </c>
      <c r="C81" s="20">
        <v>42600</v>
      </c>
      <c r="E81">
        <f>(C81/B81)</f>
        <v>1.7280545189031316</v>
      </c>
    </row>
    <row r="82" spans="1:7" ht="19" thickBot="1">
      <c r="A82" s="8" t="s">
        <v>84</v>
      </c>
      <c r="B82" s="13">
        <v>30649</v>
      </c>
      <c r="C82" s="20">
        <v>76571</v>
      </c>
      <c r="E82">
        <f>(C82/B82)</f>
        <v>2.4983196841658781</v>
      </c>
    </row>
    <row r="83" spans="1:7" ht="19" thickBot="1">
      <c r="A83" s="8" t="s">
        <v>85</v>
      </c>
      <c r="B83" s="13">
        <v>24796</v>
      </c>
      <c r="C83" s="20">
        <v>73295</v>
      </c>
      <c r="E83">
        <f>(C83/B83)</f>
        <v>2.9559203097273752</v>
      </c>
    </row>
    <row r="84" spans="1:7" ht="19" thickBot="1">
      <c r="A84" s="8" t="s">
        <v>86</v>
      </c>
      <c r="B84" s="13">
        <v>10862</v>
      </c>
      <c r="C84" s="20">
        <v>45979</v>
      </c>
      <c r="E84">
        <f>(C84/B84)</f>
        <v>4.2330141778677959</v>
      </c>
    </row>
    <row r="85" spans="1:7" ht="19" thickBot="1">
      <c r="A85" s="8" t="s">
        <v>87</v>
      </c>
      <c r="B85" s="13">
        <v>12715</v>
      </c>
      <c r="C85" s="20">
        <v>41295</v>
      </c>
      <c r="E85">
        <f>(C85/B85)</f>
        <v>3.2477388910735354</v>
      </c>
    </row>
    <row r="86" spans="1:7" ht="19" thickBot="1">
      <c r="A86" s="8" t="s">
        <v>88</v>
      </c>
      <c r="B86" s="13">
        <v>10388</v>
      </c>
      <c r="C86" s="20">
        <v>29488</v>
      </c>
      <c r="E86">
        <f>(C86/B86)</f>
        <v>2.8386599922988065</v>
      </c>
    </row>
    <row r="87" spans="1:7" ht="19" thickBot="1">
      <c r="A87" s="8" t="s">
        <v>89</v>
      </c>
      <c r="B87" s="13">
        <v>4894</v>
      </c>
      <c r="C87" s="20">
        <v>8946</v>
      </c>
      <c r="E87">
        <f>(C87/B87)</f>
        <v>1.8279525950143032</v>
      </c>
    </row>
    <row r="88" spans="1:7" ht="19" thickBot="1">
      <c r="A88" s="8" t="s">
        <v>90</v>
      </c>
      <c r="B88" s="13">
        <v>12888</v>
      </c>
      <c r="C88" s="20">
        <v>47390</v>
      </c>
      <c r="E88">
        <f>(C88/B88)</f>
        <v>3.6770639354438237</v>
      </c>
    </row>
    <row r="89" spans="1:7" ht="19" thickBot="1">
      <c r="A89" s="8" t="s">
        <v>91</v>
      </c>
      <c r="B89" s="13">
        <v>25107</v>
      </c>
      <c r="C89" s="20">
        <v>59180</v>
      </c>
      <c r="E89">
        <f>(C89/B89)</f>
        <v>2.3571115625124466</v>
      </c>
    </row>
    <row r="90" spans="1:7" ht="19" thickBot="1">
      <c r="A90" s="8" t="s">
        <v>92</v>
      </c>
      <c r="B90" s="13">
        <v>7221</v>
      </c>
      <c r="C90" s="20">
        <v>30163</v>
      </c>
      <c r="E90">
        <f>(C90/B90)</f>
        <v>4.1771222822323777</v>
      </c>
    </row>
    <row r="91" spans="1:7" ht="19" thickBot="1">
      <c r="A91" s="8" t="s">
        <v>93</v>
      </c>
      <c r="B91" s="13">
        <v>2962</v>
      </c>
      <c r="C91" s="20">
        <v>8308</v>
      </c>
      <c r="E91">
        <f>(C91/B91)</f>
        <v>2.8048615800135046</v>
      </c>
    </row>
    <row r="92" spans="1:7" ht="19" thickBot="1">
      <c r="A92" s="8" t="s">
        <v>94</v>
      </c>
      <c r="B92" s="13">
        <v>10549</v>
      </c>
      <c r="C92" s="20">
        <v>33080</v>
      </c>
      <c r="E92">
        <f>(C92/B92)</f>
        <v>3.1358422599298512</v>
      </c>
    </row>
    <row r="93" spans="1:7" ht="19" thickBot="1">
      <c r="A93" s="8" t="s">
        <v>95</v>
      </c>
      <c r="B93" s="13">
        <v>20536</v>
      </c>
      <c r="C93" s="20">
        <v>56281</v>
      </c>
      <c r="E93">
        <f>(C93/B93)</f>
        <v>2.7406018698870276</v>
      </c>
    </row>
    <row r="94" spans="1:7" ht="19" thickBot="1">
      <c r="A94" s="8" t="s">
        <v>96</v>
      </c>
      <c r="B94" s="13">
        <v>87496</v>
      </c>
      <c r="C94" s="20">
        <v>221000</v>
      </c>
      <c r="E94">
        <f>(C94/B94)</f>
        <v>2.5258297522172444</v>
      </c>
      <c r="F94" t="s">
        <v>336</v>
      </c>
      <c r="G94">
        <f>SUM(C94:C97)/SUM(B94:B97)</f>
        <v>2.0688887372944946</v>
      </c>
    </row>
    <row r="95" spans="1:7" ht="19" thickBot="1">
      <c r="A95" s="8" t="s">
        <v>97</v>
      </c>
      <c r="B95" s="13">
        <v>111831</v>
      </c>
      <c r="C95" s="20">
        <v>199785</v>
      </c>
      <c r="E95">
        <f>(C95/B95)</f>
        <v>1.7864903291573893</v>
      </c>
    </row>
    <row r="96" spans="1:7" ht="19" thickBot="1">
      <c r="A96" s="8" t="s">
        <v>98</v>
      </c>
      <c r="B96" s="13">
        <v>113529</v>
      </c>
      <c r="C96" s="20">
        <v>234834</v>
      </c>
      <c r="E96">
        <f>(C96/B96)</f>
        <v>2.0684935126707713</v>
      </c>
    </row>
    <row r="97" spans="1:7" ht="19" thickBot="1">
      <c r="A97" s="8" t="s">
        <v>99</v>
      </c>
      <c r="B97" s="13">
        <v>53619</v>
      </c>
      <c r="C97" s="20">
        <v>102577</v>
      </c>
      <c r="E97">
        <f>(C97/B97)</f>
        <v>1.9130718588560025</v>
      </c>
    </row>
    <row r="98" spans="1:7" ht="19" thickBot="1">
      <c r="A98" s="8" t="s">
        <v>100</v>
      </c>
      <c r="B98" s="13">
        <v>4309</v>
      </c>
      <c r="C98" s="20">
        <v>19013</v>
      </c>
      <c r="E98">
        <f>(C98/B98)</f>
        <v>4.4123926665119519</v>
      </c>
      <c r="F98" t="s">
        <v>337</v>
      </c>
      <c r="G98">
        <f>SUM(C98:C105)/SUM(B98:B105)</f>
        <v>3.0591330178229788</v>
      </c>
    </row>
    <row r="99" spans="1:7" ht="19" thickBot="1">
      <c r="A99" s="8" t="s">
        <v>101</v>
      </c>
      <c r="B99" s="13">
        <v>1967</v>
      </c>
      <c r="C99" s="20">
        <v>4862</v>
      </c>
      <c r="E99">
        <f>(C99/B99)</f>
        <v>2.4717844433146925</v>
      </c>
    </row>
    <row r="100" spans="1:7" ht="19" thickBot="1">
      <c r="A100" s="8" t="s">
        <v>102</v>
      </c>
      <c r="B100" s="13">
        <v>2442</v>
      </c>
      <c r="C100" s="20">
        <v>10141</v>
      </c>
      <c r="E100">
        <f>(C100/B100)</f>
        <v>4.152743652743653</v>
      </c>
    </row>
    <row r="101" spans="1:7" ht="19" thickBot="1">
      <c r="A101" s="8" t="s">
        <v>103</v>
      </c>
      <c r="B101" s="13">
        <v>10619</v>
      </c>
      <c r="C101" s="20">
        <v>29855</v>
      </c>
      <c r="E101">
        <f>(C101/B101)</f>
        <v>2.811470006591958</v>
      </c>
    </row>
    <row r="102" spans="1:7" ht="19" thickBot="1">
      <c r="A102" s="8" t="s">
        <v>104</v>
      </c>
      <c r="B102" s="13">
        <v>8064</v>
      </c>
      <c r="C102" s="20">
        <v>16767</v>
      </c>
      <c r="E102">
        <f>(C102/B102)</f>
        <v>2.0792410714285716</v>
      </c>
    </row>
    <row r="103" spans="1:7" ht="19" thickBot="1">
      <c r="A103" s="10" t="s">
        <v>105</v>
      </c>
      <c r="B103" s="13">
        <v>1662</v>
      </c>
      <c r="C103" s="20">
        <v>5400</v>
      </c>
      <c r="E103">
        <f>(C103/B103)</f>
        <v>3.2490974729241877</v>
      </c>
    </row>
    <row r="104" spans="1:7" ht="19" thickBot="1">
      <c r="A104" s="10" t="s">
        <v>106</v>
      </c>
      <c r="B104" s="13">
        <v>7734</v>
      </c>
      <c r="C104" s="20">
        <v>32556</v>
      </c>
      <c r="E104">
        <f>(C104/B104)</f>
        <v>4.2094647013188515</v>
      </c>
    </row>
    <row r="105" spans="1:7" ht="19" thickBot="1">
      <c r="A105" s="10" t="s">
        <v>107</v>
      </c>
      <c r="B105" s="13">
        <v>2927</v>
      </c>
      <c r="C105" s="20">
        <v>2927</v>
      </c>
      <c r="E105">
        <f>(C105/B105)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DEAB-3DA0-4949-8771-8BCED83E248D}">
  <dimension ref="A1:DC115"/>
  <sheetViews>
    <sheetView topLeftCell="A100" workbookViewId="0">
      <selection activeCell="C4" sqref="C4:E115"/>
    </sheetView>
  </sheetViews>
  <sheetFormatPr baseColWidth="10" defaultRowHeight="16"/>
  <cols>
    <col min="2" max="2" width="40.33203125" customWidth="1"/>
  </cols>
  <sheetData>
    <row r="1" spans="1:107" ht="209">
      <c r="A1" s="1">
        <v>2</v>
      </c>
      <c r="B1" s="2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</row>
    <row r="2" spans="1:107" ht="19" thickBot="1">
      <c r="A2" s="24" t="s">
        <v>1</v>
      </c>
      <c r="B2" s="3"/>
      <c r="C2" s="25"/>
      <c r="D2" s="4"/>
      <c r="E2" s="4"/>
      <c r="F2" s="4"/>
      <c r="G2" s="4"/>
      <c r="H2" s="5"/>
      <c r="I2" s="4"/>
      <c r="J2" s="4"/>
      <c r="K2" s="5" t="s">
        <v>2</v>
      </c>
      <c r="L2" s="4"/>
      <c r="M2" s="4"/>
      <c r="N2" s="4"/>
      <c r="O2" s="4"/>
      <c r="P2" s="4"/>
      <c r="Q2" s="4"/>
      <c r="R2" s="4"/>
      <c r="S2" s="4"/>
      <c r="T2" s="5" t="s">
        <v>2</v>
      </c>
      <c r="U2" s="4"/>
      <c r="V2" s="4"/>
      <c r="W2" s="4"/>
      <c r="X2" s="4"/>
      <c r="Y2" s="4"/>
      <c r="Z2" s="4"/>
      <c r="AA2" s="4"/>
      <c r="AB2" s="5" t="s">
        <v>2</v>
      </c>
      <c r="AC2" s="4"/>
      <c r="AD2" s="4"/>
      <c r="AE2" s="4"/>
      <c r="AF2" s="4"/>
      <c r="AG2" s="4"/>
      <c r="AH2" s="4"/>
      <c r="AI2" s="4"/>
      <c r="AJ2" s="4"/>
      <c r="AK2" s="5" t="s">
        <v>2</v>
      </c>
      <c r="AL2" s="4"/>
      <c r="AM2" s="4"/>
      <c r="AN2" s="4"/>
      <c r="AO2" s="4"/>
      <c r="AP2" s="4"/>
      <c r="AQ2" s="4"/>
      <c r="AR2" s="4"/>
      <c r="AS2" s="5" t="s">
        <v>2</v>
      </c>
      <c r="AT2" s="4"/>
      <c r="AU2" s="4"/>
      <c r="AV2" s="4"/>
      <c r="AW2" s="4"/>
      <c r="AX2" s="4"/>
      <c r="AY2" s="4"/>
      <c r="AZ2" s="4"/>
      <c r="BA2" s="4"/>
      <c r="BB2" s="5" t="s">
        <v>2</v>
      </c>
      <c r="BC2" s="4"/>
      <c r="BD2" s="4"/>
      <c r="BE2" s="4"/>
      <c r="BF2" s="4"/>
      <c r="BG2" s="4"/>
      <c r="BH2" s="4"/>
      <c r="BI2" s="5" t="s">
        <v>2</v>
      </c>
      <c r="BJ2" s="4"/>
      <c r="BK2" s="4"/>
      <c r="BL2" s="4"/>
      <c r="BM2" s="4"/>
      <c r="BN2" s="4"/>
      <c r="BO2" s="4"/>
      <c r="BP2" s="4"/>
      <c r="BQ2" s="4"/>
      <c r="BR2" s="5" t="s">
        <v>2</v>
      </c>
      <c r="BS2" s="4"/>
      <c r="BT2" s="4"/>
      <c r="BU2" s="4"/>
      <c r="BV2" s="4"/>
      <c r="BW2" s="4"/>
      <c r="BX2" s="4"/>
      <c r="BY2" s="4"/>
      <c r="BZ2" s="5" t="s">
        <v>2</v>
      </c>
      <c r="CA2" s="4"/>
      <c r="CB2" s="4"/>
      <c r="CC2" s="4"/>
      <c r="CD2" s="4"/>
      <c r="CE2" s="4"/>
      <c r="CF2" s="4"/>
      <c r="CG2" s="4"/>
      <c r="CH2" s="4"/>
      <c r="CI2" s="5" t="s">
        <v>2</v>
      </c>
      <c r="CJ2" s="4"/>
      <c r="CK2" s="4"/>
      <c r="CL2" s="4"/>
      <c r="CM2" s="4"/>
      <c r="CN2" s="4"/>
      <c r="CO2" s="4"/>
      <c r="CP2" s="4"/>
      <c r="CQ2" s="4"/>
      <c r="CR2" s="5" t="s">
        <v>2</v>
      </c>
      <c r="CS2" s="4"/>
      <c r="CT2" s="4"/>
      <c r="CU2" s="4"/>
      <c r="CV2" s="4"/>
      <c r="CW2" s="4"/>
      <c r="CX2" s="4"/>
      <c r="CY2" s="4"/>
      <c r="CZ2" s="4"/>
      <c r="DA2" s="5" t="s">
        <v>2</v>
      </c>
      <c r="DB2" s="5"/>
      <c r="DC2" s="5"/>
    </row>
    <row r="3" spans="1:107" ht="59">
      <c r="A3" s="1"/>
      <c r="B3" s="2"/>
      <c r="C3" s="37" t="s">
        <v>3</v>
      </c>
      <c r="D3" s="37"/>
      <c r="E3" s="37"/>
      <c r="F3" s="37"/>
      <c r="G3" s="37"/>
      <c r="H3" s="37"/>
      <c r="I3" s="37"/>
      <c r="J3" s="37"/>
      <c r="K3" s="37"/>
      <c r="L3" s="37" t="s">
        <v>3</v>
      </c>
      <c r="M3" s="37"/>
      <c r="N3" s="37"/>
      <c r="O3" s="37"/>
      <c r="P3" s="37"/>
      <c r="Q3" s="37"/>
      <c r="R3" s="37"/>
      <c r="S3" s="37"/>
      <c r="T3" s="37" t="s">
        <v>3</v>
      </c>
      <c r="U3" s="37"/>
      <c r="V3" s="37"/>
      <c r="W3" s="37"/>
      <c r="X3" s="37"/>
      <c r="Y3" s="37"/>
      <c r="Z3" s="37"/>
      <c r="AA3" s="37"/>
      <c r="AB3" s="37"/>
      <c r="AC3" s="37" t="s">
        <v>3</v>
      </c>
      <c r="AD3" s="37"/>
      <c r="AE3" s="37"/>
      <c r="AF3" s="37"/>
      <c r="AG3" s="37"/>
      <c r="AH3" s="37"/>
      <c r="AI3" s="37"/>
      <c r="AJ3" s="37"/>
      <c r="AK3" s="37"/>
      <c r="AL3" s="37" t="s">
        <v>3</v>
      </c>
      <c r="AM3" s="37"/>
      <c r="AN3" s="37"/>
      <c r="AO3" s="37"/>
      <c r="AP3" s="37"/>
      <c r="AQ3" s="37"/>
      <c r="AR3" s="37"/>
      <c r="AS3" s="37"/>
      <c r="AT3" s="37" t="s">
        <v>3</v>
      </c>
      <c r="AU3" s="37"/>
      <c r="AV3" s="37"/>
      <c r="AW3" s="37"/>
      <c r="AX3" s="37"/>
      <c r="AY3" s="37"/>
      <c r="AZ3" s="37"/>
      <c r="BA3" s="37"/>
      <c r="BB3" s="37"/>
      <c r="BC3" s="37" t="s">
        <v>3</v>
      </c>
      <c r="BD3" s="37"/>
      <c r="BE3" s="37"/>
      <c r="BF3" s="37"/>
      <c r="BG3" s="37"/>
      <c r="BH3" s="37"/>
      <c r="BI3" s="37"/>
      <c r="BJ3" s="37" t="s">
        <v>3</v>
      </c>
      <c r="BK3" s="37"/>
      <c r="BL3" s="37"/>
      <c r="BM3" s="37"/>
      <c r="BN3" s="37"/>
      <c r="BO3" s="37"/>
      <c r="BP3" s="37"/>
      <c r="BQ3" s="37"/>
      <c r="BR3" s="37"/>
      <c r="BS3" s="38"/>
      <c r="BT3" s="38"/>
      <c r="BU3" s="38"/>
      <c r="BV3" s="38"/>
      <c r="BW3" s="38"/>
      <c r="BX3" s="38"/>
      <c r="BY3" s="38"/>
      <c r="BZ3" s="38"/>
      <c r="CA3" s="37" t="s">
        <v>3</v>
      </c>
      <c r="CB3" s="37"/>
      <c r="CC3" s="37"/>
      <c r="CD3" s="37"/>
      <c r="CE3" s="37"/>
      <c r="CF3" s="37"/>
      <c r="CG3" s="37"/>
      <c r="CH3" s="37"/>
      <c r="CI3" s="37"/>
      <c r="CJ3" s="37" t="s">
        <v>3</v>
      </c>
      <c r="CK3" s="37"/>
      <c r="CL3" s="37"/>
      <c r="CM3" s="37"/>
      <c r="CN3" s="37"/>
      <c r="CO3" s="37"/>
      <c r="CP3" s="37"/>
      <c r="CQ3" s="37"/>
      <c r="CR3" s="37"/>
      <c r="CS3" s="37" t="s">
        <v>3</v>
      </c>
      <c r="CT3" s="37"/>
      <c r="CU3" s="37"/>
      <c r="CV3" s="37"/>
      <c r="CW3" s="37"/>
      <c r="CX3" s="37"/>
      <c r="CY3" s="37"/>
      <c r="CZ3" s="37"/>
      <c r="DA3" s="37"/>
      <c r="DB3" s="26"/>
      <c r="DC3" s="27"/>
    </row>
    <row r="4" spans="1:107" ht="18">
      <c r="A4" s="6"/>
      <c r="B4" s="6"/>
      <c r="C4" s="28" t="s">
        <v>338</v>
      </c>
      <c r="D4" s="8" t="s">
        <v>339</v>
      </c>
      <c r="E4" s="8" t="s">
        <v>340</v>
      </c>
      <c r="F4" s="8" t="s">
        <v>341</v>
      </c>
      <c r="G4" s="8" t="s">
        <v>342</v>
      </c>
      <c r="H4" s="8" t="s">
        <v>343</v>
      </c>
      <c r="I4" s="8" t="s">
        <v>344</v>
      </c>
      <c r="J4" s="8" t="s">
        <v>345</v>
      </c>
      <c r="K4" s="8" t="s">
        <v>346</v>
      </c>
      <c r="L4" s="8" t="s">
        <v>347</v>
      </c>
      <c r="M4" s="8" t="s">
        <v>348</v>
      </c>
      <c r="N4" s="8" t="s">
        <v>349</v>
      </c>
      <c r="O4" s="8" t="s">
        <v>350</v>
      </c>
      <c r="P4" s="8" t="s">
        <v>351</v>
      </c>
      <c r="Q4" s="8" t="s">
        <v>352</v>
      </c>
      <c r="R4" s="8" t="s">
        <v>353</v>
      </c>
      <c r="S4" s="8" t="s">
        <v>354</v>
      </c>
      <c r="T4" s="8" t="s">
        <v>355</v>
      </c>
      <c r="U4" s="8" t="s">
        <v>356</v>
      </c>
      <c r="V4" s="8" t="s">
        <v>357</v>
      </c>
      <c r="W4" s="8" t="s">
        <v>358</v>
      </c>
      <c r="X4" s="8" t="s">
        <v>359</v>
      </c>
      <c r="Y4" s="8" t="s">
        <v>360</v>
      </c>
      <c r="Z4" s="8" t="s">
        <v>361</v>
      </c>
      <c r="AA4" s="8" t="s">
        <v>362</v>
      </c>
      <c r="AB4" s="8" t="s">
        <v>363</v>
      </c>
      <c r="AC4" s="8" t="s">
        <v>364</v>
      </c>
      <c r="AD4" s="8" t="s">
        <v>365</v>
      </c>
      <c r="AE4" s="8" t="s">
        <v>366</v>
      </c>
      <c r="AF4" s="8" t="s">
        <v>367</v>
      </c>
      <c r="AG4" s="8" t="s">
        <v>368</v>
      </c>
      <c r="AH4" s="8" t="s">
        <v>369</v>
      </c>
      <c r="AI4" s="8" t="s">
        <v>370</v>
      </c>
      <c r="AJ4" s="8" t="s">
        <v>371</v>
      </c>
      <c r="AK4" s="8" t="s">
        <v>372</v>
      </c>
      <c r="AL4" s="8" t="s">
        <v>373</v>
      </c>
      <c r="AM4" s="8" t="s">
        <v>374</v>
      </c>
      <c r="AN4" s="8" t="s">
        <v>375</v>
      </c>
      <c r="AO4" s="8" t="s">
        <v>376</v>
      </c>
      <c r="AP4" s="8" t="s">
        <v>377</v>
      </c>
      <c r="AQ4" s="8" t="s">
        <v>378</v>
      </c>
      <c r="AR4" s="8" t="s">
        <v>379</v>
      </c>
      <c r="AS4" s="8" t="s">
        <v>380</v>
      </c>
      <c r="AT4" s="8" t="s">
        <v>381</v>
      </c>
      <c r="AU4" s="8" t="s">
        <v>382</v>
      </c>
      <c r="AV4" s="8" t="s">
        <v>383</v>
      </c>
      <c r="AW4" s="8" t="s">
        <v>384</v>
      </c>
      <c r="AX4" s="8" t="s">
        <v>385</v>
      </c>
      <c r="AY4" s="8" t="s">
        <v>386</v>
      </c>
      <c r="AZ4" s="8" t="s">
        <v>387</v>
      </c>
      <c r="BA4" s="8" t="s">
        <v>388</v>
      </c>
      <c r="BB4" s="8" t="s">
        <v>389</v>
      </c>
      <c r="BC4" s="8" t="s">
        <v>390</v>
      </c>
      <c r="BD4" s="8" t="s">
        <v>391</v>
      </c>
      <c r="BE4" s="8" t="s">
        <v>392</v>
      </c>
      <c r="BF4" s="8" t="s">
        <v>393</v>
      </c>
      <c r="BG4" s="8" t="s">
        <v>394</v>
      </c>
      <c r="BH4" s="8" t="s">
        <v>395</v>
      </c>
      <c r="BI4" s="8" t="s">
        <v>396</v>
      </c>
      <c r="BJ4" s="8" t="s">
        <v>397</v>
      </c>
      <c r="BK4" s="8" t="s">
        <v>398</v>
      </c>
      <c r="BL4" s="8" t="s">
        <v>399</v>
      </c>
      <c r="BM4" s="8" t="s">
        <v>400</v>
      </c>
      <c r="BN4" s="8" t="s">
        <v>401</v>
      </c>
      <c r="BO4" s="8" t="s">
        <v>402</v>
      </c>
      <c r="BP4" s="8" t="s">
        <v>403</v>
      </c>
      <c r="BQ4" s="8" t="s">
        <v>404</v>
      </c>
      <c r="BR4" s="8" t="s">
        <v>405</v>
      </c>
      <c r="BS4" s="8" t="s">
        <v>406</v>
      </c>
      <c r="BT4" s="8" t="s">
        <v>407</v>
      </c>
      <c r="BU4" s="8" t="s">
        <v>408</v>
      </c>
      <c r="BV4" s="8" t="s">
        <v>409</v>
      </c>
      <c r="BW4" s="8" t="s">
        <v>410</v>
      </c>
      <c r="BX4" s="9" t="s">
        <v>77</v>
      </c>
      <c r="BY4" s="8" t="s">
        <v>411</v>
      </c>
      <c r="BZ4" s="8" t="s">
        <v>412</v>
      </c>
      <c r="CA4" s="8" t="s">
        <v>413</v>
      </c>
      <c r="CB4" s="8" t="s">
        <v>414</v>
      </c>
      <c r="CC4" s="8" t="s">
        <v>415</v>
      </c>
      <c r="CD4" s="8" t="s">
        <v>416</v>
      </c>
      <c r="CE4" s="8" t="s">
        <v>417</v>
      </c>
      <c r="CF4" s="8" t="s">
        <v>418</v>
      </c>
      <c r="CG4" s="8" t="s">
        <v>419</v>
      </c>
      <c r="CH4" s="8" t="s">
        <v>420</v>
      </c>
      <c r="CI4" s="8" t="s">
        <v>421</v>
      </c>
      <c r="CJ4" s="8" t="s">
        <v>422</v>
      </c>
      <c r="CK4" s="8" t="s">
        <v>423</v>
      </c>
      <c r="CL4" s="8" t="s">
        <v>424</v>
      </c>
      <c r="CM4" s="8" t="s">
        <v>425</v>
      </c>
      <c r="CN4" s="8" t="s">
        <v>426</v>
      </c>
      <c r="CO4" s="8" t="s">
        <v>427</v>
      </c>
      <c r="CP4" s="8" t="s">
        <v>428</v>
      </c>
      <c r="CQ4" s="8" t="s">
        <v>429</v>
      </c>
      <c r="CR4" s="8" t="s">
        <v>430</v>
      </c>
      <c r="CS4" s="8" t="s">
        <v>431</v>
      </c>
      <c r="CT4" s="8" t="s">
        <v>432</v>
      </c>
      <c r="CU4" s="8" t="s">
        <v>433</v>
      </c>
      <c r="CV4" s="8" t="s">
        <v>434</v>
      </c>
      <c r="CW4" s="8" t="s">
        <v>435</v>
      </c>
      <c r="CX4" s="8" t="s">
        <v>436</v>
      </c>
      <c r="CY4" s="8" t="s">
        <v>437</v>
      </c>
      <c r="CZ4" s="8" t="s">
        <v>438</v>
      </c>
      <c r="DA4" s="8" t="s">
        <v>439</v>
      </c>
      <c r="DB4" s="10" t="s">
        <v>440</v>
      </c>
      <c r="DC4" s="6"/>
    </row>
    <row r="5" spans="1:107" ht="409.6">
      <c r="A5" s="11"/>
      <c r="B5" s="12" t="s">
        <v>108</v>
      </c>
      <c r="C5" s="29" t="s">
        <v>441</v>
      </c>
      <c r="D5" s="30" t="s">
        <v>442</v>
      </c>
      <c r="E5" s="30" t="s">
        <v>443</v>
      </c>
      <c r="F5" s="30" t="s">
        <v>444</v>
      </c>
      <c r="G5" s="30" t="s">
        <v>445</v>
      </c>
      <c r="H5" s="30" t="s">
        <v>446</v>
      </c>
      <c r="I5" s="30" t="s">
        <v>447</v>
      </c>
      <c r="J5" s="30" t="s">
        <v>448</v>
      </c>
      <c r="K5" s="30" t="s">
        <v>449</v>
      </c>
      <c r="L5" s="30" t="s">
        <v>450</v>
      </c>
      <c r="M5" s="30" t="s">
        <v>451</v>
      </c>
      <c r="N5" s="30" t="s">
        <v>452</v>
      </c>
      <c r="O5" s="30" t="s">
        <v>453</v>
      </c>
      <c r="P5" s="30" t="s">
        <v>454</v>
      </c>
      <c r="Q5" s="30" t="s">
        <v>455</v>
      </c>
      <c r="R5" s="30" t="s">
        <v>456</v>
      </c>
      <c r="S5" s="30" t="s">
        <v>457</v>
      </c>
      <c r="T5" s="30" t="s">
        <v>458</v>
      </c>
      <c r="U5" s="30" t="s">
        <v>459</v>
      </c>
      <c r="V5" s="30" t="s">
        <v>460</v>
      </c>
      <c r="W5" s="30" t="s">
        <v>461</v>
      </c>
      <c r="X5" s="30" t="s">
        <v>462</v>
      </c>
      <c r="Y5" s="30" t="s">
        <v>463</v>
      </c>
      <c r="Z5" s="30" t="s">
        <v>464</v>
      </c>
      <c r="AA5" s="30" t="s">
        <v>465</v>
      </c>
      <c r="AB5" s="30" t="s">
        <v>466</v>
      </c>
      <c r="AC5" s="30" t="s">
        <v>467</v>
      </c>
      <c r="AD5" s="30" t="s">
        <v>468</v>
      </c>
      <c r="AE5" s="30" t="s">
        <v>469</v>
      </c>
      <c r="AF5" s="30" t="s">
        <v>470</v>
      </c>
      <c r="AG5" s="30" t="s">
        <v>471</v>
      </c>
      <c r="AH5" s="30" t="s">
        <v>472</v>
      </c>
      <c r="AI5" s="30" t="s">
        <v>179</v>
      </c>
      <c r="AJ5" s="30" t="s">
        <v>473</v>
      </c>
      <c r="AK5" s="30" t="s">
        <v>474</v>
      </c>
      <c r="AL5" s="30" t="s">
        <v>475</v>
      </c>
      <c r="AM5" s="30" t="s">
        <v>476</v>
      </c>
      <c r="AN5" s="30" t="s">
        <v>477</v>
      </c>
      <c r="AO5" s="30" t="s">
        <v>478</v>
      </c>
      <c r="AP5" s="30" t="s">
        <v>479</v>
      </c>
      <c r="AQ5" s="30" t="s">
        <v>480</v>
      </c>
      <c r="AR5" s="30" t="s">
        <v>481</v>
      </c>
      <c r="AS5" s="30" t="s">
        <v>482</v>
      </c>
      <c r="AT5" s="30" t="s">
        <v>483</v>
      </c>
      <c r="AU5" s="30" t="s">
        <v>484</v>
      </c>
      <c r="AV5" s="30" t="s">
        <v>485</v>
      </c>
      <c r="AW5" s="30" t="s">
        <v>486</v>
      </c>
      <c r="AX5" s="30" t="s">
        <v>487</v>
      </c>
      <c r="AY5" s="30" t="s">
        <v>488</v>
      </c>
      <c r="AZ5" s="30" t="s">
        <v>489</v>
      </c>
      <c r="BA5" s="30" t="s">
        <v>490</v>
      </c>
      <c r="BB5" s="30" t="s">
        <v>491</v>
      </c>
      <c r="BC5" s="30" t="s">
        <v>492</v>
      </c>
      <c r="BD5" s="30" t="s">
        <v>493</v>
      </c>
      <c r="BE5" s="30" t="s">
        <v>494</v>
      </c>
      <c r="BF5" s="30" t="s">
        <v>495</v>
      </c>
      <c r="BG5" s="30" t="s">
        <v>496</v>
      </c>
      <c r="BH5" s="30" t="s">
        <v>497</v>
      </c>
      <c r="BI5" s="30" t="s">
        <v>498</v>
      </c>
      <c r="BJ5" s="30" t="s">
        <v>499</v>
      </c>
      <c r="BK5" s="30" t="s">
        <v>500</v>
      </c>
      <c r="BL5" s="30" t="s">
        <v>501</v>
      </c>
      <c r="BM5" s="30" t="s">
        <v>502</v>
      </c>
      <c r="BN5" s="30" t="s">
        <v>503</v>
      </c>
      <c r="BO5" s="30" t="s">
        <v>504</v>
      </c>
      <c r="BP5" s="30" t="s">
        <v>505</v>
      </c>
      <c r="BQ5" s="30" t="s">
        <v>506</v>
      </c>
      <c r="BR5" s="30" t="s">
        <v>507</v>
      </c>
      <c r="BS5" s="30" t="s">
        <v>508</v>
      </c>
      <c r="BT5" s="30" t="s">
        <v>509</v>
      </c>
      <c r="BU5" s="30" t="s">
        <v>510</v>
      </c>
      <c r="BV5" s="30" t="s">
        <v>511</v>
      </c>
      <c r="BW5" s="30" t="s">
        <v>512</v>
      </c>
      <c r="BX5" s="30" t="s">
        <v>513</v>
      </c>
      <c r="BY5" s="30" t="s">
        <v>514</v>
      </c>
      <c r="BZ5" s="30" t="s">
        <v>515</v>
      </c>
      <c r="CA5" s="30" t="s">
        <v>516</v>
      </c>
      <c r="CB5" s="30" t="s">
        <v>517</v>
      </c>
      <c r="CC5" s="30" t="s">
        <v>518</v>
      </c>
      <c r="CD5" s="30" t="s">
        <v>519</v>
      </c>
      <c r="CE5" s="30" t="s">
        <v>520</v>
      </c>
      <c r="CF5" s="30" t="s">
        <v>521</v>
      </c>
      <c r="CG5" s="30" t="s">
        <v>522</v>
      </c>
      <c r="CH5" s="30" t="s">
        <v>523</v>
      </c>
      <c r="CI5" s="30" t="s">
        <v>524</v>
      </c>
      <c r="CJ5" s="30" t="s">
        <v>525</v>
      </c>
      <c r="CK5" s="30" t="s">
        <v>526</v>
      </c>
      <c r="CL5" s="30" t="s">
        <v>527</v>
      </c>
      <c r="CM5" s="30" t="s">
        <v>528</v>
      </c>
      <c r="CN5" s="30" t="s">
        <v>529</v>
      </c>
      <c r="CO5" s="30" t="s">
        <v>530</v>
      </c>
      <c r="CP5" s="30" t="s">
        <v>531</v>
      </c>
      <c r="CQ5" s="30" t="s">
        <v>532</v>
      </c>
      <c r="CR5" s="30" t="s">
        <v>533</v>
      </c>
      <c r="CS5" s="30" t="s">
        <v>534</v>
      </c>
      <c r="CT5" s="30" t="s">
        <v>535</v>
      </c>
      <c r="CU5" s="30" t="s">
        <v>536</v>
      </c>
      <c r="CV5" s="30" t="s">
        <v>537</v>
      </c>
      <c r="CW5" s="30" t="s">
        <v>538</v>
      </c>
      <c r="CX5" s="30" t="s">
        <v>539</v>
      </c>
      <c r="CY5" s="30" t="s">
        <v>540</v>
      </c>
      <c r="CZ5" s="30" t="s">
        <v>541</v>
      </c>
      <c r="DA5" s="30" t="s">
        <v>542</v>
      </c>
      <c r="DB5" s="30" t="s">
        <v>543</v>
      </c>
      <c r="DC5" s="31" t="s">
        <v>113</v>
      </c>
    </row>
    <row r="6" spans="1:107" ht="19">
      <c r="A6" s="9" t="s">
        <v>114</v>
      </c>
      <c r="B6" s="9" t="s">
        <v>115</v>
      </c>
      <c r="C6" s="13" t="s">
        <v>544</v>
      </c>
      <c r="D6" s="13">
        <v>53</v>
      </c>
      <c r="E6" s="13">
        <v>8</v>
      </c>
      <c r="F6" s="13" t="s">
        <v>545</v>
      </c>
      <c r="G6" s="13" t="s">
        <v>545</v>
      </c>
      <c r="H6" s="13" t="s">
        <v>545</v>
      </c>
      <c r="I6" s="13" t="s">
        <v>545</v>
      </c>
      <c r="J6" s="13" t="s">
        <v>546</v>
      </c>
      <c r="K6" s="13">
        <v>997</v>
      </c>
      <c r="L6" s="13">
        <v>38</v>
      </c>
      <c r="M6" s="13" t="s">
        <v>547</v>
      </c>
      <c r="N6" s="13" t="s">
        <v>548</v>
      </c>
      <c r="O6" s="13">
        <v>30</v>
      </c>
      <c r="P6" s="13">
        <v>443</v>
      </c>
      <c r="Q6" s="13" t="s">
        <v>549</v>
      </c>
      <c r="R6" s="13" t="s">
        <v>550</v>
      </c>
      <c r="S6" s="13" t="s">
        <v>545</v>
      </c>
      <c r="T6" s="13">
        <v>6</v>
      </c>
      <c r="U6" s="13">
        <v>1</v>
      </c>
      <c r="V6" s="13">
        <v>7</v>
      </c>
      <c r="W6" s="13" t="s">
        <v>545</v>
      </c>
      <c r="X6" s="13">
        <v>27</v>
      </c>
      <c r="Y6" s="13" t="s">
        <v>545</v>
      </c>
      <c r="Z6" s="13" t="s">
        <v>545</v>
      </c>
      <c r="AA6" s="13" t="s">
        <v>545</v>
      </c>
      <c r="AB6" s="13" t="s">
        <v>545</v>
      </c>
      <c r="AC6" s="13" t="s">
        <v>545</v>
      </c>
      <c r="AD6" s="13">
        <v>2</v>
      </c>
      <c r="AE6" s="13">
        <v>81</v>
      </c>
      <c r="AF6" s="13" t="s">
        <v>545</v>
      </c>
      <c r="AG6" s="13">
        <v>183</v>
      </c>
      <c r="AH6" s="13" t="s">
        <v>545</v>
      </c>
      <c r="AI6" s="13" t="s">
        <v>545</v>
      </c>
      <c r="AJ6" s="13" t="s">
        <v>545</v>
      </c>
      <c r="AK6" s="13" t="s">
        <v>545</v>
      </c>
      <c r="AL6" s="13" t="s">
        <v>545</v>
      </c>
      <c r="AM6" s="13" t="s">
        <v>545</v>
      </c>
      <c r="AN6" s="13" t="s">
        <v>545</v>
      </c>
      <c r="AO6" s="13" t="s">
        <v>545</v>
      </c>
      <c r="AP6" s="13" t="s">
        <v>545</v>
      </c>
      <c r="AQ6" s="13" t="s">
        <v>545</v>
      </c>
      <c r="AR6" s="13" t="s">
        <v>545</v>
      </c>
      <c r="AS6" s="13" t="s">
        <v>545</v>
      </c>
      <c r="AT6" s="13" t="s">
        <v>545</v>
      </c>
      <c r="AU6" s="13">
        <v>6</v>
      </c>
      <c r="AV6" s="13" t="s">
        <v>545</v>
      </c>
      <c r="AW6" s="13" t="s">
        <v>545</v>
      </c>
      <c r="AX6" s="13" t="s">
        <v>545</v>
      </c>
      <c r="AY6" s="13" t="s">
        <v>545</v>
      </c>
      <c r="AZ6" s="13">
        <v>57</v>
      </c>
      <c r="BA6" s="13">
        <v>25</v>
      </c>
      <c r="BB6" s="13" t="s">
        <v>545</v>
      </c>
      <c r="BC6" s="13" t="s">
        <v>545</v>
      </c>
      <c r="BD6" s="13">
        <v>4</v>
      </c>
      <c r="BE6" s="13" t="s">
        <v>545</v>
      </c>
      <c r="BF6" s="13" t="s">
        <v>545</v>
      </c>
      <c r="BG6" s="13" t="s">
        <v>545</v>
      </c>
      <c r="BH6" s="13">
        <v>281</v>
      </c>
      <c r="BI6" s="13" t="s">
        <v>545</v>
      </c>
      <c r="BJ6" s="13" t="s">
        <v>545</v>
      </c>
      <c r="BK6" s="13" t="s">
        <v>545</v>
      </c>
      <c r="BL6" s="13" t="s">
        <v>545</v>
      </c>
      <c r="BM6" s="13" t="s">
        <v>545</v>
      </c>
      <c r="BN6" s="13" t="s">
        <v>545</v>
      </c>
      <c r="BO6" s="13" t="s">
        <v>545</v>
      </c>
      <c r="BP6" s="13">
        <v>97</v>
      </c>
      <c r="BQ6" s="13">
        <v>72</v>
      </c>
      <c r="BR6" s="13" t="s">
        <v>545</v>
      </c>
      <c r="BS6" s="13" t="s">
        <v>545</v>
      </c>
      <c r="BT6" s="13" t="s">
        <v>545</v>
      </c>
      <c r="BU6" s="13" t="s">
        <v>545</v>
      </c>
      <c r="BV6" s="13" t="s">
        <v>545</v>
      </c>
      <c r="BW6" s="13" t="s">
        <v>545</v>
      </c>
      <c r="BX6" s="13">
        <v>1</v>
      </c>
      <c r="BY6" s="13">
        <v>3</v>
      </c>
      <c r="BZ6" s="13">
        <v>10</v>
      </c>
      <c r="CA6" s="13" t="s">
        <v>545</v>
      </c>
      <c r="CB6" s="13" t="s">
        <v>545</v>
      </c>
      <c r="CC6" s="13" t="s">
        <v>545</v>
      </c>
      <c r="CD6" s="13" t="s">
        <v>545</v>
      </c>
      <c r="CE6" s="13" t="s">
        <v>545</v>
      </c>
      <c r="CF6" s="13" t="s">
        <v>545</v>
      </c>
      <c r="CG6" s="13" t="s">
        <v>545</v>
      </c>
      <c r="CH6" s="13" t="s">
        <v>545</v>
      </c>
      <c r="CI6" s="13" t="s">
        <v>545</v>
      </c>
      <c r="CJ6" s="13" t="s">
        <v>545</v>
      </c>
      <c r="CK6" s="13" t="s">
        <v>545</v>
      </c>
      <c r="CL6" s="13" t="s">
        <v>545</v>
      </c>
      <c r="CM6" s="13" t="s">
        <v>545</v>
      </c>
      <c r="CN6" s="13" t="s">
        <v>545</v>
      </c>
      <c r="CO6" s="13" t="s">
        <v>545</v>
      </c>
      <c r="CP6" s="13" t="s">
        <v>545</v>
      </c>
      <c r="CQ6" s="13" t="s">
        <v>545</v>
      </c>
      <c r="CR6" s="13" t="s">
        <v>545</v>
      </c>
      <c r="CS6" s="13">
        <v>32</v>
      </c>
      <c r="CT6" s="13">
        <v>64</v>
      </c>
      <c r="CU6" s="13" t="s">
        <v>545</v>
      </c>
      <c r="CV6" s="13" t="s">
        <v>545</v>
      </c>
      <c r="CW6" s="13">
        <v>25</v>
      </c>
      <c r="CX6" s="13" t="s">
        <v>545</v>
      </c>
      <c r="CY6" s="13" t="s">
        <v>545</v>
      </c>
      <c r="CZ6" s="13">
        <v>2</v>
      </c>
      <c r="DA6" s="13" t="s">
        <v>545</v>
      </c>
      <c r="DB6" s="13" t="s">
        <v>545</v>
      </c>
      <c r="DC6" s="32" t="s">
        <v>551</v>
      </c>
    </row>
    <row r="7" spans="1:107" ht="19">
      <c r="A7" s="9" t="s">
        <v>116</v>
      </c>
      <c r="B7" s="9" t="s">
        <v>117</v>
      </c>
      <c r="C7" s="13">
        <v>427</v>
      </c>
      <c r="D7" s="13">
        <v>648</v>
      </c>
      <c r="E7" s="13">
        <v>2</v>
      </c>
      <c r="F7" s="13" t="s">
        <v>545</v>
      </c>
      <c r="G7" s="13" t="s">
        <v>545</v>
      </c>
      <c r="H7" s="13" t="s">
        <v>545</v>
      </c>
      <c r="I7" s="13" t="s">
        <v>545</v>
      </c>
      <c r="J7" s="13" t="s">
        <v>545</v>
      </c>
      <c r="K7" s="13" t="s">
        <v>545</v>
      </c>
      <c r="L7" s="13" t="s">
        <v>545</v>
      </c>
      <c r="M7" s="13" t="s">
        <v>545</v>
      </c>
      <c r="N7" s="13" t="s">
        <v>545</v>
      </c>
      <c r="O7" s="13" t="s">
        <v>545</v>
      </c>
      <c r="P7" s="13" t="s">
        <v>545</v>
      </c>
      <c r="Q7" s="13" t="s">
        <v>545</v>
      </c>
      <c r="R7" s="13" t="s">
        <v>545</v>
      </c>
      <c r="S7" s="13" t="s">
        <v>545</v>
      </c>
      <c r="T7" s="13" t="s">
        <v>545</v>
      </c>
      <c r="U7" s="13" t="s">
        <v>545</v>
      </c>
      <c r="V7" s="13" t="s">
        <v>545</v>
      </c>
      <c r="W7" s="13">
        <v>629</v>
      </c>
      <c r="X7" s="13">
        <v>164</v>
      </c>
      <c r="Y7" s="13" t="s">
        <v>545</v>
      </c>
      <c r="Z7" s="13" t="s">
        <v>545</v>
      </c>
      <c r="AA7" s="13" t="s">
        <v>545</v>
      </c>
      <c r="AB7" s="13" t="s">
        <v>545</v>
      </c>
      <c r="AC7" s="13" t="s">
        <v>545</v>
      </c>
      <c r="AD7" s="13">
        <v>2</v>
      </c>
      <c r="AE7" s="13" t="s">
        <v>545</v>
      </c>
      <c r="AF7" s="13" t="s">
        <v>545</v>
      </c>
      <c r="AG7" s="13" t="s">
        <v>545</v>
      </c>
      <c r="AH7" s="13" t="s">
        <v>545</v>
      </c>
      <c r="AI7" s="9"/>
      <c r="AJ7" s="13" t="s">
        <v>545</v>
      </c>
      <c r="AK7" s="13" t="s">
        <v>545</v>
      </c>
      <c r="AL7" s="13" t="s">
        <v>545</v>
      </c>
      <c r="AM7" s="13" t="s">
        <v>545</v>
      </c>
      <c r="AN7" s="13" t="s">
        <v>545</v>
      </c>
      <c r="AO7" s="13" t="s">
        <v>545</v>
      </c>
      <c r="AP7" s="13" t="s">
        <v>545</v>
      </c>
      <c r="AQ7" s="13">
        <v>2</v>
      </c>
      <c r="AR7" s="13" t="s">
        <v>545</v>
      </c>
      <c r="AS7" s="13" t="s">
        <v>545</v>
      </c>
      <c r="AT7" s="13" t="s">
        <v>545</v>
      </c>
      <c r="AU7" s="13">
        <v>17</v>
      </c>
      <c r="AV7" s="13">
        <v>2</v>
      </c>
      <c r="AW7" s="13" t="s">
        <v>545</v>
      </c>
      <c r="AX7" s="13" t="s">
        <v>545</v>
      </c>
      <c r="AY7" s="13" t="s">
        <v>545</v>
      </c>
      <c r="AZ7" s="13">
        <v>981</v>
      </c>
      <c r="BA7" s="13" t="s">
        <v>545</v>
      </c>
      <c r="BB7" s="13" t="s">
        <v>545</v>
      </c>
      <c r="BC7" s="13" t="s">
        <v>545</v>
      </c>
      <c r="BD7" s="13" t="s">
        <v>545</v>
      </c>
      <c r="BE7" s="13" t="s">
        <v>545</v>
      </c>
      <c r="BF7" s="13" t="s">
        <v>545</v>
      </c>
      <c r="BG7" s="13" t="s">
        <v>545</v>
      </c>
      <c r="BH7" s="13" t="s">
        <v>545</v>
      </c>
      <c r="BI7" s="13" t="s">
        <v>545</v>
      </c>
      <c r="BJ7" s="13" t="s">
        <v>545</v>
      </c>
      <c r="BK7" s="13" t="s">
        <v>545</v>
      </c>
      <c r="BL7" s="13" t="s">
        <v>545</v>
      </c>
      <c r="BM7" s="13" t="s">
        <v>545</v>
      </c>
      <c r="BN7" s="13" t="s">
        <v>545</v>
      </c>
      <c r="BO7" s="13" t="s">
        <v>545</v>
      </c>
      <c r="BP7" s="13" t="s">
        <v>545</v>
      </c>
      <c r="BQ7" s="13" t="s">
        <v>545</v>
      </c>
      <c r="BR7" s="13" t="s">
        <v>545</v>
      </c>
      <c r="BS7" s="13" t="s">
        <v>545</v>
      </c>
      <c r="BT7" s="13" t="s">
        <v>545</v>
      </c>
      <c r="BU7" s="13" t="s">
        <v>545</v>
      </c>
      <c r="BV7" s="13" t="s">
        <v>545</v>
      </c>
      <c r="BW7" s="13" t="s">
        <v>545</v>
      </c>
      <c r="BX7" s="13" t="s">
        <v>545</v>
      </c>
      <c r="BY7" s="13" t="s">
        <v>545</v>
      </c>
      <c r="BZ7" s="13">
        <v>10</v>
      </c>
      <c r="CA7" s="13" t="s">
        <v>545</v>
      </c>
      <c r="CB7" s="13" t="s">
        <v>545</v>
      </c>
      <c r="CC7" s="13" t="s">
        <v>545</v>
      </c>
      <c r="CD7" s="13" t="s">
        <v>545</v>
      </c>
      <c r="CE7" s="13" t="s">
        <v>545</v>
      </c>
      <c r="CF7" s="13" t="s">
        <v>545</v>
      </c>
      <c r="CG7" s="13" t="s">
        <v>545</v>
      </c>
      <c r="CH7" s="13" t="s">
        <v>545</v>
      </c>
      <c r="CI7" s="13" t="s">
        <v>545</v>
      </c>
      <c r="CJ7" s="13" t="s">
        <v>545</v>
      </c>
      <c r="CK7" s="13" t="s">
        <v>545</v>
      </c>
      <c r="CL7" s="13" t="s">
        <v>545</v>
      </c>
      <c r="CM7" s="13" t="s">
        <v>545</v>
      </c>
      <c r="CN7" s="13" t="s">
        <v>545</v>
      </c>
      <c r="CO7" s="13" t="s">
        <v>545</v>
      </c>
      <c r="CP7" s="13" t="s">
        <v>545</v>
      </c>
      <c r="CQ7" s="13" t="s">
        <v>545</v>
      </c>
      <c r="CR7" s="13" t="s">
        <v>545</v>
      </c>
      <c r="CS7" s="13" t="s">
        <v>545</v>
      </c>
      <c r="CT7" s="13" t="s">
        <v>545</v>
      </c>
      <c r="CU7" s="13" t="s">
        <v>545</v>
      </c>
      <c r="CV7" s="13" t="s">
        <v>545</v>
      </c>
      <c r="CW7" s="13" t="s">
        <v>545</v>
      </c>
      <c r="CX7" s="13" t="s">
        <v>545</v>
      </c>
      <c r="CY7" s="13" t="s">
        <v>545</v>
      </c>
      <c r="CZ7" s="13">
        <v>2</v>
      </c>
      <c r="DA7" s="13" t="s">
        <v>545</v>
      </c>
      <c r="DB7" s="13" t="s">
        <v>545</v>
      </c>
      <c r="DC7" s="32" t="s">
        <v>552</v>
      </c>
    </row>
    <row r="8" spans="1:107" ht="19">
      <c r="A8" s="9" t="s">
        <v>118</v>
      </c>
      <c r="B8" s="9" t="s">
        <v>119</v>
      </c>
      <c r="C8" s="13" t="s">
        <v>545</v>
      </c>
      <c r="D8" s="13" t="s">
        <v>545</v>
      </c>
      <c r="E8" s="13">
        <v>415</v>
      </c>
      <c r="F8" s="13" t="s">
        <v>545</v>
      </c>
      <c r="G8" s="13" t="s">
        <v>545</v>
      </c>
      <c r="H8" s="13" t="s">
        <v>545</v>
      </c>
      <c r="I8" s="13" t="s">
        <v>545</v>
      </c>
      <c r="J8" s="13" t="s">
        <v>545</v>
      </c>
      <c r="K8" s="13" t="s">
        <v>553</v>
      </c>
      <c r="L8" s="13" t="s">
        <v>545</v>
      </c>
      <c r="M8" s="13" t="s">
        <v>545</v>
      </c>
      <c r="N8" s="13" t="s">
        <v>545</v>
      </c>
      <c r="O8" s="13" t="s">
        <v>545</v>
      </c>
      <c r="P8" s="13" t="s">
        <v>545</v>
      </c>
      <c r="Q8" s="13" t="s">
        <v>545</v>
      </c>
      <c r="R8" s="13" t="s">
        <v>545</v>
      </c>
      <c r="S8" s="13" t="s">
        <v>545</v>
      </c>
      <c r="T8" s="13" t="s">
        <v>545</v>
      </c>
      <c r="U8" s="13" t="s">
        <v>545</v>
      </c>
      <c r="V8" s="13" t="s">
        <v>545</v>
      </c>
      <c r="W8" s="13" t="s">
        <v>545</v>
      </c>
      <c r="X8" s="13" t="s">
        <v>545</v>
      </c>
      <c r="Y8" s="13" t="s">
        <v>545</v>
      </c>
      <c r="Z8" s="13" t="s">
        <v>545</v>
      </c>
      <c r="AA8" s="13" t="s">
        <v>545</v>
      </c>
      <c r="AB8" s="13" t="s">
        <v>545</v>
      </c>
      <c r="AC8" s="13" t="s">
        <v>545</v>
      </c>
      <c r="AD8" s="13" t="s">
        <v>545</v>
      </c>
      <c r="AE8" s="13" t="s">
        <v>545</v>
      </c>
      <c r="AF8" s="13" t="s">
        <v>545</v>
      </c>
      <c r="AG8" s="13" t="s">
        <v>545</v>
      </c>
      <c r="AH8" s="13" t="s">
        <v>545</v>
      </c>
      <c r="AI8" s="13" t="s">
        <v>545</v>
      </c>
      <c r="AJ8" s="13" t="s">
        <v>545</v>
      </c>
      <c r="AK8" s="13" t="s">
        <v>545</v>
      </c>
      <c r="AL8" s="13" t="s">
        <v>545</v>
      </c>
      <c r="AM8" s="13" t="s">
        <v>545</v>
      </c>
      <c r="AN8" s="13" t="s">
        <v>545</v>
      </c>
      <c r="AO8" s="13" t="s">
        <v>545</v>
      </c>
      <c r="AP8" s="13" t="s">
        <v>545</v>
      </c>
      <c r="AQ8" s="13" t="s">
        <v>545</v>
      </c>
      <c r="AR8" s="13" t="s">
        <v>545</v>
      </c>
      <c r="AS8" s="13" t="s">
        <v>545</v>
      </c>
      <c r="AT8" s="13" t="s">
        <v>545</v>
      </c>
      <c r="AU8" s="13" t="s">
        <v>545</v>
      </c>
      <c r="AV8" s="13" t="s">
        <v>545</v>
      </c>
      <c r="AW8" s="13" t="s">
        <v>545</v>
      </c>
      <c r="AX8" s="13" t="s">
        <v>545</v>
      </c>
      <c r="AY8" s="13" t="s">
        <v>545</v>
      </c>
      <c r="AZ8" s="13" t="s">
        <v>545</v>
      </c>
      <c r="BA8" s="13" t="s">
        <v>545</v>
      </c>
      <c r="BB8" s="13" t="s">
        <v>545</v>
      </c>
      <c r="BC8" s="13" t="s">
        <v>545</v>
      </c>
      <c r="BD8" s="13" t="s">
        <v>545</v>
      </c>
      <c r="BE8" s="13" t="s">
        <v>545</v>
      </c>
      <c r="BF8" s="13" t="s">
        <v>545</v>
      </c>
      <c r="BG8" s="13" t="s">
        <v>545</v>
      </c>
      <c r="BH8" s="13" t="s">
        <v>545</v>
      </c>
      <c r="BI8" s="13" t="s">
        <v>545</v>
      </c>
      <c r="BJ8" s="13" t="s">
        <v>545</v>
      </c>
      <c r="BK8" s="13" t="s">
        <v>545</v>
      </c>
      <c r="BL8" s="13" t="s">
        <v>545</v>
      </c>
      <c r="BM8" s="13" t="s">
        <v>545</v>
      </c>
      <c r="BN8" s="13" t="s">
        <v>545</v>
      </c>
      <c r="BO8" s="13" t="s">
        <v>545</v>
      </c>
      <c r="BP8" s="13">
        <v>85</v>
      </c>
      <c r="BQ8" s="13">
        <v>296</v>
      </c>
      <c r="BR8" s="13" t="s">
        <v>545</v>
      </c>
      <c r="BS8" s="13" t="s">
        <v>545</v>
      </c>
      <c r="BT8" s="13" t="s">
        <v>545</v>
      </c>
      <c r="BU8" s="13" t="s">
        <v>545</v>
      </c>
      <c r="BV8" s="13" t="s">
        <v>545</v>
      </c>
      <c r="BW8" s="13" t="s">
        <v>545</v>
      </c>
      <c r="BX8" s="13" t="s">
        <v>545</v>
      </c>
      <c r="BY8" s="13" t="s">
        <v>545</v>
      </c>
      <c r="BZ8" s="13">
        <v>10</v>
      </c>
      <c r="CA8" s="13" t="s">
        <v>545</v>
      </c>
      <c r="CB8" s="13" t="s">
        <v>545</v>
      </c>
      <c r="CC8" s="13" t="s">
        <v>545</v>
      </c>
      <c r="CD8" s="13" t="s">
        <v>545</v>
      </c>
      <c r="CE8" s="13" t="s">
        <v>545</v>
      </c>
      <c r="CF8" s="13" t="s">
        <v>545</v>
      </c>
      <c r="CG8" s="13" t="s">
        <v>545</v>
      </c>
      <c r="CH8" s="13" t="s">
        <v>545</v>
      </c>
      <c r="CI8" s="13" t="s">
        <v>545</v>
      </c>
      <c r="CJ8" s="13" t="s">
        <v>545</v>
      </c>
      <c r="CK8" s="13" t="s">
        <v>545</v>
      </c>
      <c r="CL8" s="13" t="s">
        <v>545</v>
      </c>
      <c r="CM8" s="13" t="s">
        <v>545</v>
      </c>
      <c r="CN8" s="13" t="s">
        <v>545</v>
      </c>
      <c r="CO8" s="13" t="s">
        <v>545</v>
      </c>
      <c r="CP8" s="13" t="s">
        <v>545</v>
      </c>
      <c r="CQ8" s="13" t="s">
        <v>545</v>
      </c>
      <c r="CR8" s="13" t="s">
        <v>545</v>
      </c>
      <c r="CS8" s="13" t="s">
        <v>545</v>
      </c>
      <c r="CT8" s="13" t="s">
        <v>545</v>
      </c>
      <c r="CU8" s="13" t="s">
        <v>545</v>
      </c>
      <c r="CV8" s="13" t="s">
        <v>545</v>
      </c>
      <c r="CW8" s="13" t="s">
        <v>545</v>
      </c>
      <c r="CX8" s="13" t="s">
        <v>545</v>
      </c>
      <c r="CY8" s="13" t="s">
        <v>545</v>
      </c>
      <c r="CZ8" s="13" t="s">
        <v>545</v>
      </c>
      <c r="DA8" s="13" t="s">
        <v>545</v>
      </c>
      <c r="DB8" s="13" t="s">
        <v>545</v>
      </c>
      <c r="DC8" s="32" t="s">
        <v>554</v>
      </c>
    </row>
    <row r="9" spans="1:107" ht="19">
      <c r="A9" s="9" t="s">
        <v>120</v>
      </c>
      <c r="B9" s="9" t="s">
        <v>121</v>
      </c>
      <c r="C9" s="13" t="s">
        <v>545</v>
      </c>
      <c r="D9" s="13" t="s">
        <v>545</v>
      </c>
      <c r="E9" s="13" t="s">
        <v>545</v>
      </c>
      <c r="F9" s="13">
        <v>10</v>
      </c>
      <c r="G9" s="13" t="s">
        <v>545</v>
      </c>
      <c r="H9" s="13">
        <v>5</v>
      </c>
      <c r="I9" s="13" t="s">
        <v>545</v>
      </c>
      <c r="J9" s="13" t="s">
        <v>545</v>
      </c>
      <c r="K9" s="13" t="s">
        <v>545</v>
      </c>
      <c r="L9" s="13" t="s">
        <v>545</v>
      </c>
      <c r="M9" s="13" t="s">
        <v>545</v>
      </c>
      <c r="N9" s="13" t="s">
        <v>545</v>
      </c>
      <c r="O9" s="13" t="s">
        <v>545</v>
      </c>
      <c r="P9" s="13" t="s">
        <v>545</v>
      </c>
      <c r="Q9" s="13" t="s">
        <v>545</v>
      </c>
      <c r="R9" s="13" t="s">
        <v>545</v>
      </c>
      <c r="S9" s="13" t="s">
        <v>545</v>
      </c>
      <c r="T9" s="13" t="s">
        <v>545</v>
      </c>
      <c r="U9" s="13" t="s">
        <v>545</v>
      </c>
      <c r="V9" s="13" t="s">
        <v>545</v>
      </c>
      <c r="W9" s="13" t="s">
        <v>545</v>
      </c>
      <c r="X9" s="13" t="s">
        <v>545</v>
      </c>
      <c r="Y9" s="13" t="s">
        <v>545</v>
      </c>
      <c r="Z9" s="13">
        <v>5</v>
      </c>
      <c r="AA9" s="13" t="s">
        <v>545</v>
      </c>
      <c r="AB9" s="13" t="s">
        <v>545</v>
      </c>
      <c r="AC9" s="13" t="s">
        <v>545</v>
      </c>
      <c r="AD9" s="13" t="s">
        <v>545</v>
      </c>
      <c r="AE9" s="13" t="s">
        <v>545</v>
      </c>
      <c r="AF9" s="13" t="s">
        <v>545</v>
      </c>
      <c r="AG9" s="13" t="s">
        <v>545</v>
      </c>
      <c r="AH9" s="13" t="s">
        <v>545</v>
      </c>
      <c r="AI9" s="13">
        <v>45</v>
      </c>
      <c r="AJ9" s="13">
        <v>2</v>
      </c>
      <c r="AK9" s="13">
        <v>104</v>
      </c>
      <c r="AL9" s="13" t="s">
        <v>545</v>
      </c>
      <c r="AM9" s="13" t="s">
        <v>545</v>
      </c>
      <c r="AN9" s="13" t="s">
        <v>545</v>
      </c>
      <c r="AO9" s="13" t="s">
        <v>545</v>
      </c>
      <c r="AP9" s="13" t="s">
        <v>545</v>
      </c>
      <c r="AQ9" s="13" t="s">
        <v>545</v>
      </c>
      <c r="AR9" s="13" t="s">
        <v>545</v>
      </c>
      <c r="AS9" s="13" t="s">
        <v>545</v>
      </c>
      <c r="AT9" s="13" t="s">
        <v>545</v>
      </c>
      <c r="AU9" s="13" t="s">
        <v>545</v>
      </c>
      <c r="AV9" s="13" t="s">
        <v>545</v>
      </c>
      <c r="AW9" s="13" t="s">
        <v>545</v>
      </c>
      <c r="AX9" s="13" t="s">
        <v>545</v>
      </c>
      <c r="AY9" s="13" t="s">
        <v>545</v>
      </c>
      <c r="AZ9" s="13">
        <v>195</v>
      </c>
      <c r="BA9" s="13" t="s">
        <v>545</v>
      </c>
      <c r="BB9" s="13" t="s">
        <v>545</v>
      </c>
      <c r="BC9" s="13" t="s">
        <v>545</v>
      </c>
      <c r="BD9" s="13" t="s">
        <v>545</v>
      </c>
      <c r="BE9" s="13" t="s">
        <v>545</v>
      </c>
      <c r="BF9" s="13" t="s">
        <v>545</v>
      </c>
      <c r="BG9" s="13" t="s">
        <v>545</v>
      </c>
      <c r="BH9" s="13" t="s">
        <v>545</v>
      </c>
      <c r="BI9" s="13" t="s">
        <v>545</v>
      </c>
      <c r="BJ9" s="13" t="s">
        <v>545</v>
      </c>
      <c r="BK9" s="13" t="s">
        <v>545</v>
      </c>
      <c r="BL9" s="13" t="s">
        <v>545</v>
      </c>
      <c r="BM9" s="13" t="s">
        <v>545</v>
      </c>
      <c r="BN9" s="13" t="s">
        <v>545</v>
      </c>
      <c r="BO9" s="13" t="s">
        <v>545</v>
      </c>
      <c r="BP9" s="13" t="s">
        <v>545</v>
      </c>
      <c r="BQ9" s="13" t="s">
        <v>545</v>
      </c>
      <c r="BR9" s="13" t="s">
        <v>545</v>
      </c>
      <c r="BS9" s="13" t="s">
        <v>545</v>
      </c>
      <c r="BT9" s="13" t="s">
        <v>545</v>
      </c>
      <c r="BU9" s="13" t="s">
        <v>545</v>
      </c>
      <c r="BV9" s="13" t="s">
        <v>545</v>
      </c>
      <c r="BW9" s="13" t="s">
        <v>545</v>
      </c>
      <c r="BX9" s="13" t="s">
        <v>545</v>
      </c>
      <c r="BY9" s="13" t="s">
        <v>545</v>
      </c>
      <c r="BZ9" s="13">
        <v>29</v>
      </c>
      <c r="CA9" s="13" t="s">
        <v>545</v>
      </c>
      <c r="CB9" s="13" t="s">
        <v>545</v>
      </c>
      <c r="CC9" s="13" t="s">
        <v>545</v>
      </c>
      <c r="CD9" s="13" t="s">
        <v>545</v>
      </c>
      <c r="CE9" s="13" t="s">
        <v>545</v>
      </c>
      <c r="CF9" s="13" t="s">
        <v>545</v>
      </c>
      <c r="CG9" s="13" t="s">
        <v>545</v>
      </c>
      <c r="CH9" s="13" t="s">
        <v>545</v>
      </c>
      <c r="CI9" s="13" t="s">
        <v>545</v>
      </c>
      <c r="CJ9" s="13" t="s">
        <v>545</v>
      </c>
      <c r="CK9" s="13" t="s">
        <v>545</v>
      </c>
      <c r="CL9" s="13" t="s">
        <v>545</v>
      </c>
      <c r="CM9" s="13" t="s">
        <v>545</v>
      </c>
      <c r="CN9" s="13" t="s">
        <v>545</v>
      </c>
      <c r="CO9" s="13" t="s">
        <v>545</v>
      </c>
      <c r="CP9" s="13" t="s">
        <v>545</v>
      </c>
      <c r="CQ9" s="13">
        <v>2</v>
      </c>
      <c r="CR9" s="13">
        <v>4</v>
      </c>
      <c r="CS9" s="13" t="s">
        <v>545</v>
      </c>
      <c r="CT9" s="13" t="s">
        <v>545</v>
      </c>
      <c r="CU9" s="13" t="s">
        <v>545</v>
      </c>
      <c r="CV9" s="13" t="s">
        <v>545</v>
      </c>
      <c r="CW9" s="13" t="s">
        <v>545</v>
      </c>
      <c r="CX9" s="13" t="s">
        <v>545</v>
      </c>
      <c r="CY9" s="13">
        <v>10</v>
      </c>
      <c r="CZ9" s="13" t="s">
        <v>545</v>
      </c>
      <c r="DA9" s="13" t="s">
        <v>545</v>
      </c>
      <c r="DB9" s="13" t="s">
        <v>545</v>
      </c>
      <c r="DC9" s="32">
        <v>411</v>
      </c>
    </row>
    <row r="10" spans="1:107" ht="19">
      <c r="A10" s="9" t="s">
        <v>122</v>
      </c>
      <c r="B10" s="33" t="s">
        <v>123</v>
      </c>
      <c r="C10" s="13" t="s">
        <v>545</v>
      </c>
      <c r="D10" s="13" t="s">
        <v>545</v>
      </c>
      <c r="E10" s="13">
        <v>2</v>
      </c>
      <c r="F10" s="13" t="s">
        <v>545</v>
      </c>
      <c r="G10" s="13" t="s">
        <v>555</v>
      </c>
      <c r="H10" s="13">
        <v>7</v>
      </c>
      <c r="I10" s="13" t="s">
        <v>545</v>
      </c>
      <c r="J10" s="13">
        <v>4</v>
      </c>
      <c r="K10" s="13" t="s">
        <v>545</v>
      </c>
      <c r="L10" s="13" t="s">
        <v>545</v>
      </c>
      <c r="M10" s="13">
        <v>2</v>
      </c>
      <c r="N10" s="13" t="s">
        <v>545</v>
      </c>
      <c r="O10" s="13">
        <v>1</v>
      </c>
      <c r="P10" s="13" t="s">
        <v>545</v>
      </c>
      <c r="Q10" s="13" t="s">
        <v>545</v>
      </c>
      <c r="R10" s="13">
        <v>2</v>
      </c>
      <c r="S10" s="13" t="s">
        <v>545</v>
      </c>
      <c r="T10" s="13" t="s">
        <v>545</v>
      </c>
      <c r="U10" s="13" t="s">
        <v>545</v>
      </c>
      <c r="V10" s="13" t="s">
        <v>545</v>
      </c>
      <c r="W10" s="13" t="s">
        <v>545</v>
      </c>
      <c r="X10" s="13" t="s">
        <v>545</v>
      </c>
      <c r="Y10" s="13" t="s">
        <v>545</v>
      </c>
      <c r="Z10" s="13" t="s">
        <v>556</v>
      </c>
      <c r="AA10" s="13" t="s">
        <v>545</v>
      </c>
      <c r="AB10" s="13" t="s">
        <v>545</v>
      </c>
      <c r="AC10" s="13">
        <v>5</v>
      </c>
      <c r="AD10" s="13" t="s">
        <v>545</v>
      </c>
      <c r="AE10" s="13">
        <v>412</v>
      </c>
      <c r="AF10" s="13">
        <v>100</v>
      </c>
      <c r="AG10" s="13" t="s">
        <v>545</v>
      </c>
      <c r="AH10" s="13" t="s">
        <v>545</v>
      </c>
      <c r="AI10" s="13" t="s">
        <v>545</v>
      </c>
      <c r="AJ10" s="13">
        <v>4</v>
      </c>
      <c r="AK10" s="13">
        <v>581</v>
      </c>
      <c r="AL10" s="13">
        <v>353</v>
      </c>
      <c r="AM10" s="13">
        <v>5</v>
      </c>
      <c r="AN10" s="13" t="s">
        <v>545</v>
      </c>
      <c r="AO10" s="13" t="s">
        <v>545</v>
      </c>
      <c r="AP10" s="13" t="s">
        <v>545</v>
      </c>
      <c r="AQ10" s="13" t="s">
        <v>545</v>
      </c>
      <c r="AR10" s="13" t="s">
        <v>545</v>
      </c>
      <c r="AS10" s="13" t="s">
        <v>545</v>
      </c>
      <c r="AT10" s="13" t="s">
        <v>545</v>
      </c>
      <c r="AU10" s="13" t="s">
        <v>545</v>
      </c>
      <c r="AV10" s="13" t="s">
        <v>545</v>
      </c>
      <c r="AW10" s="13" t="s">
        <v>545</v>
      </c>
      <c r="AX10" s="13" t="s">
        <v>545</v>
      </c>
      <c r="AY10" s="13" t="s">
        <v>545</v>
      </c>
      <c r="AZ10" s="13" t="s">
        <v>557</v>
      </c>
      <c r="BA10" s="13" t="s">
        <v>558</v>
      </c>
      <c r="BB10" s="13" t="s">
        <v>545</v>
      </c>
      <c r="BC10" s="13" t="s">
        <v>545</v>
      </c>
      <c r="BD10" s="13">
        <v>4</v>
      </c>
      <c r="BE10" s="13" t="s">
        <v>545</v>
      </c>
      <c r="BF10" s="13" t="s">
        <v>545</v>
      </c>
      <c r="BG10" s="13" t="s">
        <v>545</v>
      </c>
      <c r="BH10" s="13">
        <v>12</v>
      </c>
      <c r="BI10" s="13">
        <v>3</v>
      </c>
      <c r="BJ10" s="13" t="s">
        <v>545</v>
      </c>
      <c r="BK10" s="13" t="s">
        <v>545</v>
      </c>
      <c r="BL10" s="13">
        <v>8</v>
      </c>
      <c r="BM10" s="13" t="s">
        <v>545</v>
      </c>
      <c r="BN10" s="13">
        <v>2</v>
      </c>
      <c r="BO10" s="13" t="s">
        <v>545</v>
      </c>
      <c r="BP10" s="13" t="s">
        <v>545</v>
      </c>
      <c r="BQ10" s="13" t="s">
        <v>545</v>
      </c>
      <c r="BR10" s="13" t="s">
        <v>545</v>
      </c>
      <c r="BS10" s="13" t="s">
        <v>545</v>
      </c>
      <c r="BT10" s="13" t="s">
        <v>545</v>
      </c>
      <c r="BU10" s="13" t="s">
        <v>545</v>
      </c>
      <c r="BV10" s="13" t="s">
        <v>545</v>
      </c>
      <c r="BW10" s="13" t="s">
        <v>545</v>
      </c>
      <c r="BX10" s="13" t="s">
        <v>545</v>
      </c>
      <c r="BY10" s="13">
        <v>4</v>
      </c>
      <c r="BZ10" s="13">
        <v>51</v>
      </c>
      <c r="CA10" s="13" t="s">
        <v>545</v>
      </c>
      <c r="CB10" s="13" t="s">
        <v>545</v>
      </c>
      <c r="CC10" s="13" t="s">
        <v>545</v>
      </c>
      <c r="CD10" s="13" t="s">
        <v>545</v>
      </c>
      <c r="CE10" s="13" t="s">
        <v>545</v>
      </c>
      <c r="CF10" s="13">
        <v>220</v>
      </c>
      <c r="CG10" s="13" t="s">
        <v>545</v>
      </c>
      <c r="CH10" s="13" t="s">
        <v>545</v>
      </c>
      <c r="CI10" s="13" t="s">
        <v>545</v>
      </c>
      <c r="CJ10" s="13" t="s">
        <v>545</v>
      </c>
      <c r="CK10" s="13" t="s">
        <v>545</v>
      </c>
      <c r="CL10" s="13" t="s">
        <v>545</v>
      </c>
      <c r="CM10" s="13" t="s">
        <v>545</v>
      </c>
      <c r="CN10" s="13" t="s">
        <v>545</v>
      </c>
      <c r="CO10" s="13" t="s">
        <v>545</v>
      </c>
      <c r="CP10" s="13" t="s">
        <v>545</v>
      </c>
      <c r="CQ10" s="13" t="s">
        <v>545</v>
      </c>
      <c r="CR10" s="13" t="s">
        <v>545</v>
      </c>
      <c r="CS10" s="13" t="s">
        <v>545</v>
      </c>
      <c r="CT10" s="13" t="s">
        <v>545</v>
      </c>
      <c r="CU10" s="13" t="s">
        <v>545</v>
      </c>
      <c r="CV10" s="13" t="s">
        <v>545</v>
      </c>
      <c r="CW10" s="13" t="s">
        <v>545</v>
      </c>
      <c r="CX10" s="13">
        <v>3</v>
      </c>
      <c r="CY10" s="13" t="s">
        <v>545</v>
      </c>
      <c r="CZ10" s="13">
        <v>72</v>
      </c>
      <c r="DA10" s="13" t="s">
        <v>545</v>
      </c>
      <c r="DB10" s="13" t="s">
        <v>545</v>
      </c>
      <c r="DC10" s="32" t="s">
        <v>559</v>
      </c>
    </row>
    <row r="11" spans="1:107" ht="19">
      <c r="A11" s="9" t="s">
        <v>124</v>
      </c>
      <c r="B11" s="9" t="s">
        <v>125</v>
      </c>
      <c r="C11" s="13" t="s">
        <v>545</v>
      </c>
      <c r="D11" s="13" t="s">
        <v>545</v>
      </c>
      <c r="E11" s="13" t="s">
        <v>545</v>
      </c>
      <c r="F11" s="13" t="s">
        <v>545</v>
      </c>
      <c r="G11" s="13" t="s">
        <v>545</v>
      </c>
      <c r="H11" s="13">
        <v>841</v>
      </c>
      <c r="I11" s="13" t="s">
        <v>545</v>
      </c>
      <c r="J11" s="13" t="s">
        <v>545</v>
      </c>
      <c r="K11" s="13" t="s">
        <v>545</v>
      </c>
      <c r="L11" s="13" t="s">
        <v>545</v>
      </c>
      <c r="M11" s="13" t="s">
        <v>545</v>
      </c>
      <c r="N11" s="13" t="s">
        <v>545</v>
      </c>
      <c r="O11" s="13" t="s">
        <v>545</v>
      </c>
      <c r="P11" s="13" t="s">
        <v>545</v>
      </c>
      <c r="Q11" s="13" t="s">
        <v>545</v>
      </c>
      <c r="R11" s="13" t="s">
        <v>545</v>
      </c>
      <c r="S11" s="13" t="s">
        <v>545</v>
      </c>
      <c r="T11" s="13" t="s">
        <v>545</v>
      </c>
      <c r="U11" s="13" t="s">
        <v>545</v>
      </c>
      <c r="V11" s="13" t="s">
        <v>545</v>
      </c>
      <c r="W11" s="13" t="s">
        <v>545</v>
      </c>
      <c r="X11" s="13" t="s">
        <v>545</v>
      </c>
      <c r="Y11" s="13" t="s">
        <v>545</v>
      </c>
      <c r="Z11" s="13" t="s">
        <v>545</v>
      </c>
      <c r="AA11" s="13">
        <v>25</v>
      </c>
      <c r="AB11" s="13" t="s">
        <v>545</v>
      </c>
      <c r="AC11" s="13" t="s">
        <v>545</v>
      </c>
      <c r="AD11" s="13">
        <v>51</v>
      </c>
      <c r="AE11" s="13" t="s">
        <v>545</v>
      </c>
      <c r="AF11" s="13" t="s">
        <v>545</v>
      </c>
      <c r="AG11" s="13" t="s">
        <v>545</v>
      </c>
      <c r="AH11" s="13" t="s">
        <v>545</v>
      </c>
      <c r="AI11" s="13">
        <v>395</v>
      </c>
      <c r="AJ11" s="13">
        <v>599</v>
      </c>
      <c r="AK11" s="13" t="s">
        <v>545</v>
      </c>
      <c r="AL11" s="13">
        <v>13</v>
      </c>
      <c r="AM11" s="13">
        <v>329</v>
      </c>
      <c r="AN11" s="13" t="s">
        <v>545</v>
      </c>
      <c r="AO11" s="13" t="s">
        <v>545</v>
      </c>
      <c r="AP11" s="13" t="s">
        <v>545</v>
      </c>
      <c r="AQ11" s="13" t="s">
        <v>545</v>
      </c>
      <c r="AR11" s="13" t="s">
        <v>545</v>
      </c>
      <c r="AS11" s="13" t="s">
        <v>545</v>
      </c>
      <c r="AT11" s="13" t="s">
        <v>545</v>
      </c>
      <c r="AU11" s="13" t="s">
        <v>545</v>
      </c>
      <c r="AV11" s="13">
        <v>97</v>
      </c>
      <c r="AW11" s="13" t="s">
        <v>545</v>
      </c>
      <c r="AX11" s="13" t="s">
        <v>545</v>
      </c>
      <c r="AY11" s="13" t="s">
        <v>545</v>
      </c>
      <c r="AZ11" s="13" t="s">
        <v>545</v>
      </c>
      <c r="BA11" s="13" t="s">
        <v>545</v>
      </c>
      <c r="BB11" s="13" t="s">
        <v>545</v>
      </c>
      <c r="BC11" s="13" t="s">
        <v>545</v>
      </c>
      <c r="BD11" s="13" t="s">
        <v>545</v>
      </c>
      <c r="BE11" s="13" t="s">
        <v>545</v>
      </c>
      <c r="BF11" s="13" t="s">
        <v>560</v>
      </c>
      <c r="BG11" s="13" t="s">
        <v>545</v>
      </c>
      <c r="BH11" s="13" t="s">
        <v>545</v>
      </c>
      <c r="BI11" s="13" t="s">
        <v>545</v>
      </c>
      <c r="BJ11" s="13" t="s">
        <v>545</v>
      </c>
      <c r="BK11" s="13" t="s">
        <v>545</v>
      </c>
      <c r="BL11" s="13" t="s">
        <v>545</v>
      </c>
      <c r="BM11" s="13" t="s">
        <v>545</v>
      </c>
      <c r="BN11" s="13">
        <v>8</v>
      </c>
      <c r="BO11" s="13" t="s">
        <v>545</v>
      </c>
      <c r="BP11" s="13" t="s">
        <v>545</v>
      </c>
      <c r="BQ11" s="13" t="s">
        <v>545</v>
      </c>
      <c r="BR11" s="13" t="s">
        <v>545</v>
      </c>
      <c r="BS11" s="13" t="s">
        <v>545</v>
      </c>
      <c r="BT11" s="13" t="s">
        <v>545</v>
      </c>
      <c r="BU11" s="13" t="s">
        <v>545</v>
      </c>
      <c r="BV11" s="13" t="s">
        <v>545</v>
      </c>
      <c r="BW11" s="13" t="s">
        <v>545</v>
      </c>
      <c r="BX11" s="13" t="s">
        <v>545</v>
      </c>
      <c r="BY11" s="13">
        <v>1</v>
      </c>
      <c r="BZ11" s="13">
        <v>10</v>
      </c>
      <c r="CA11" s="13" t="s">
        <v>545</v>
      </c>
      <c r="CB11" s="13" t="s">
        <v>545</v>
      </c>
      <c r="CC11" s="13" t="s">
        <v>545</v>
      </c>
      <c r="CD11" s="13" t="s">
        <v>545</v>
      </c>
      <c r="CE11" s="13" t="s">
        <v>545</v>
      </c>
      <c r="CF11" s="13" t="s">
        <v>545</v>
      </c>
      <c r="CG11" s="13" t="s">
        <v>545</v>
      </c>
      <c r="CH11" s="13" t="s">
        <v>545</v>
      </c>
      <c r="CI11" s="13" t="s">
        <v>545</v>
      </c>
      <c r="CJ11" s="13" t="s">
        <v>545</v>
      </c>
      <c r="CK11" s="13" t="s">
        <v>545</v>
      </c>
      <c r="CL11" s="13" t="s">
        <v>545</v>
      </c>
      <c r="CM11" s="13" t="s">
        <v>545</v>
      </c>
      <c r="CN11" s="13" t="s">
        <v>545</v>
      </c>
      <c r="CO11" s="13">
        <v>363</v>
      </c>
      <c r="CP11" s="13" t="s">
        <v>545</v>
      </c>
      <c r="CQ11" s="13">
        <v>4</v>
      </c>
      <c r="CR11" s="13" t="s">
        <v>545</v>
      </c>
      <c r="CS11" s="13" t="s">
        <v>545</v>
      </c>
      <c r="CT11" s="13" t="s">
        <v>545</v>
      </c>
      <c r="CU11" s="13" t="s">
        <v>545</v>
      </c>
      <c r="CV11" s="13" t="s">
        <v>545</v>
      </c>
      <c r="CW11" s="13" t="s">
        <v>545</v>
      </c>
      <c r="CX11" s="13" t="s">
        <v>545</v>
      </c>
      <c r="CY11" s="13" t="s">
        <v>545</v>
      </c>
      <c r="CZ11" s="13" t="s">
        <v>545</v>
      </c>
      <c r="DA11" s="13" t="s">
        <v>545</v>
      </c>
      <c r="DB11" s="13" t="s">
        <v>545</v>
      </c>
      <c r="DC11" s="32" t="s">
        <v>561</v>
      </c>
    </row>
    <row r="12" spans="1:107" ht="19">
      <c r="A12" s="9" t="s">
        <v>126</v>
      </c>
      <c r="B12" s="9" t="s">
        <v>127</v>
      </c>
      <c r="C12" s="13" t="s">
        <v>545</v>
      </c>
      <c r="D12" s="13" t="s">
        <v>545</v>
      </c>
      <c r="E12" s="13" t="s">
        <v>545</v>
      </c>
      <c r="F12" s="13" t="s">
        <v>545</v>
      </c>
      <c r="G12" s="13" t="s">
        <v>562</v>
      </c>
      <c r="H12" s="13">
        <v>396</v>
      </c>
      <c r="I12" s="13">
        <v>779</v>
      </c>
      <c r="J12" s="13" t="s">
        <v>545</v>
      </c>
      <c r="K12" s="13" t="s">
        <v>545</v>
      </c>
      <c r="L12" s="13" t="s">
        <v>545</v>
      </c>
      <c r="M12" s="13" t="s">
        <v>545</v>
      </c>
      <c r="N12" s="13" t="s">
        <v>545</v>
      </c>
      <c r="O12" s="13" t="s">
        <v>545</v>
      </c>
      <c r="P12" s="13" t="s">
        <v>545</v>
      </c>
      <c r="Q12" s="13" t="s">
        <v>545</v>
      </c>
      <c r="R12" s="13" t="s">
        <v>545</v>
      </c>
      <c r="S12" s="13" t="s">
        <v>545</v>
      </c>
      <c r="T12" s="13" t="s">
        <v>545</v>
      </c>
      <c r="U12" s="13" t="s">
        <v>545</v>
      </c>
      <c r="V12" s="13" t="s">
        <v>545</v>
      </c>
      <c r="W12" s="13" t="s">
        <v>545</v>
      </c>
      <c r="X12" s="13" t="s">
        <v>545</v>
      </c>
      <c r="Y12" s="13" t="s">
        <v>545</v>
      </c>
      <c r="Z12" s="13" t="s">
        <v>545</v>
      </c>
      <c r="AA12" s="13" t="s">
        <v>545</v>
      </c>
      <c r="AB12" s="13" t="s">
        <v>545</v>
      </c>
      <c r="AC12" s="13" t="s">
        <v>545</v>
      </c>
      <c r="AD12" s="13" t="s">
        <v>545</v>
      </c>
      <c r="AE12" s="13" t="s">
        <v>545</v>
      </c>
      <c r="AF12" s="13" t="s">
        <v>545</v>
      </c>
      <c r="AG12" s="13" t="s">
        <v>545</v>
      </c>
      <c r="AH12" s="13" t="s">
        <v>545</v>
      </c>
      <c r="AI12" s="13" t="s">
        <v>545</v>
      </c>
      <c r="AJ12" s="13" t="s">
        <v>545</v>
      </c>
      <c r="AK12" s="13" t="s">
        <v>545</v>
      </c>
      <c r="AL12" s="13" t="s">
        <v>545</v>
      </c>
      <c r="AM12" s="13" t="s">
        <v>545</v>
      </c>
      <c r="AN12" s="13" t="s">
        <v>545</v>
      </c>
      <c r="AO12" s="13" t="s">
        <v>545</v>
      </c>
      <c r="AP12" s="13" t="s">
        <v>545</v>
      </c>
      <c r="AQ12" s="13" t="s">
        <v>545</v>
      </c>
      <c r="AR12" s="13" t="s">
        <v>545</v>
      </c>
      <c r="AS12" s="13" t="s">
        <v>545</v>
      </c>
      <c r="AT12" s="13" t="s">
        <v>545</v>
      </c>
      <c r="AU12" s="13" t="s">
        <v>545</v>
      </c>
      <c r="AV12" s="13" t="s">
        <v>545</v>
      </c>
      <c r="AW12" s="13" t="s">
        <v>545</v>
      </c>
      <c r="AX12" s="13" t="s">
        <v>545</v>
      </c>
      <c r="AY12" s="13" t="s">
        <v>545</v>
      </c>
      <c r="AZ12" s="13" t="s">
        <v>545</v>
      </c>
      <c r="BA12" s="13" t="s">
        <v>545</v>
      </c>
      <c r="BB12" s="13" t="s">
        <v>545</v>
      </c>
      <c r="BC12" s="13" t="s">
        <v>545</v>
      </c>
      <c r="BD12" s="13" t="s">
        <v>545</v>
      </c>
      <c r="BE12" s="13" t="s">
        <v>545</v>
      </c>
      <c r="BF12" s="13" t="s">
        <v>545</v>
      </c>
      <c r="BG12" s="13" t="s">
        <v>545</v>
      </c>
      <c r="BH12" s="13" t="s">
        <v>545</v>
      </c>
      <c r="BI12" s="13" t="s">
        <v>545</v>
      </c>
      <c r="BJ12" s="13" t="s">
        <v>545</v>
      </c>
      <c r="BK12" s="13" t="s">
        <v>545</v>
      </c>
      <c r="BL12" s="13" t="s">
        <v>545</v>
      </c>
      <c r="BM12" s="13" t="s">
        <v>545</v>
      </c>
      <c r="BN12" s="13" t="s">
        <v>545</v>
      </c>
      <c r="BO12" s="13" t="s">
        <v>545</v>
      </c>
      <c r="BP12" s="13" t="s">
        <v>545</v>
      </c>
      <c r="BQ12" s="13" t="s">
        <v>545</v>
      </c>
      <c r="BR12" s="13" t="s">
        <v>545</v>
      </c>
      <c r="BS12" s="13" t="s">
        <v>545</v>
      </c>
      <c r="BT12" s="13" t="s">
        <v>545</v>
      </c>
      <c r="BU12" s="13" t="s">
        <v>545</v>
      </c>
      <c r="BV12" s="13" t="s">
        <v>545</v>
      </c>
      <c r="BW12" s="13" t="s">
        <v>545</v>
      </c>
      <c r="BX12" s="13" t="s">
        <v>545</v>
      </c>
      <c r="BY12" s="13" t="s">
        <v>545</v>
      </c>
      <c r="BZ12" s="13" t="s">
        <v>545</v>
      </c>
      <c r="CA12" s="13" t="s">
        <v>545</v>
      </c>
      <c r="CB12" s="13" t="s">
        <v>545</v>
      </c>
      <c r="CC12" s="13" t="s">
        <v>545</v>
      </c>
      <c r="CD12" s="13" t="s">
        <v>545</v>
      </c>
      <c r="CE12" s="13" t="s">
        <v>545</v>
      </c>
      <c r="CF12" s="13" t="s">
        <v>545</v>
      </c>
      <c r="CG12" s="13" t="s">
        <v>545</v>
      </c>
      <c r="CH12" s="13" t="s">
        <v>545</v>
      </c>
      <c r="CI12" s="13" t="s">
        <v>545</v>
      </c>
      <c r="CJ12" s="13" t="s">
        <v>545</v>
      </c>
      <c r="CK12" s="13" t="s">
        <v>545</v>
      </c>
      <c r="CL12" s="13" t="s">
        <v>545</v>
      </c>
      <c r="CM12" s="13" t="s">
        <v>545</v>
      </c>
      <c r="CN12" s="13" t="s">
        <v>545</v>
      </c>
      <c r="CO12" s="13" t="s">
        <v>545</v>
      </c>
      <c r="CP12" s="13" t="s">
        <v>545</v>
      </c>
      <c r="CQ12" s="13" t="s">
        <v>545</v>
      </c>
      <c r="CR12" s="13" t="s">
        <v>545</v>
      </c>
      <c r="CS12" s="13" t="s">
        <v>545</v>
      </c>
      <c r="CT12" s="13" t="s">
        <v>545</v>
      </c>
      <c r="CU12" s="13" t="s">
        <v>545</v>
      </c>
      <c r="CV12" s="13" t="s">
        <v>545</v>
      </c>
      <c r="CW12" s="13" t="s">
        <v>545</v>
      </c>
      <c r="CX12" s="13" t="s">
        <v>545</v>
      </c>
      <c r="CY12" s="13" t="s">
        <v>545</v>
      </c>
      <c r="CZ12" s="13" t="s">
        <v>545</v>
      </c>
      <c r="DA12" s="13" t="s">
        <v>545</v>
      </c>
      <c r="DB12" s="13" t="s">
        <v>545</v>
      </c>
      <c r="DC12" s="32" t="s">
        <v>563</v>
      </c>
    </row>
    <row r="13" spans="1:107" ht="19">
      <c r="A13" s="9" t="s">
        <v>128</v>
      </c>
      <c r="B13" s="9" t="s">
        <v>129</v>
      </c>
      <c r="C13" s="13">
        <v>23</v>
      </c>
      <c r="D13" s="13">
        <v>1</v>
      </c>
      <c r="E13" s="13">
        <v>2</v>
      </c>
      <c r="F13" s="13" t="s">
        <v>545</v>
      </c>
      <c r="G13" s="13">
        <v>11</v>
      </c>
      <c r="H13" s="13">
        <v>3</v>
      </c>
      <c r="I13" s="13">
        <v>2</v>
      </c>
      <c r="J13" s="13" t="s">
        <v>564</v>
      </c>
      <c r="K13" s="13">
        <v>6</v>
      </c>
      <c r="L13" s="13">
        <v>50</v>
      </c>
      <c r="M13" s="13">
        <v>12</v>
      </c>
      <c r="N13" s="13">
        <v>62</v>
      </c>
      <c r="O13" s="13">
        <v>166</v>
      </c>
      <c r="P13" s="13" t="s">
        <v>565</v>
      </c>
      <c r="Q13" s="13">
        <v>275</v>
      </c>
      <c r="R13" s="13">
        <v>66</v>
      </c>
      <c r="S13" s="13">
        <v>3</v>
      </c>
      <c r="T13" s="13">
        <v>5</v>
      </c>
      <c r="U13" s="13" t="s">
        <v>545</v>
      </c>
      <c r="V13" s="13">
        <v>2</v>
      </c>
      <c r="W13" s="13">
        <v>6</v>
      </c>
      <c r="X13" s="13">
        <v>8</v>
      </c>
      <c r="Y13" s="13">
        <v>3</v>
      </c>
      <c r="Z13" s="13">
        <v>11</v>
      </c>
      <c r="AA13" s="13">
        <v>3</v>
      </c>
      <c r="AB13" s="13">
        <v>2</v>
      </c>
      <c r="AC13" s="13">
        <v>2</v>
      </c>
      <c r="AD13" s="13">
        <v>1</v>
      </c>
      <c r="AE13" s="13">
        <v>9</v>
      </c>
      <c r="AF13" s="13">
        <v>1</v>
      </c>
      <c r="AG13" s="13">
        <v>24</v>
      </c>
      <c r="AH13" s="13">
        <v>12</v>
      </c>
      <c r="AI13" s="13">
        <v>5</v>
      </c>
      <c r="AJ13" s="13">
        <v>2</v>
      </c>
      <c r="AK13" s="13" t="s">
        <v>545</v>
      </c>
      <c r="AL13" s="13">
        <v>4</v>
      </c>
      <c r="AM13" s="13">
        <v>5</v>
      </c>
      <c r="AN13" s="13">
        <v>89</v>
      </c>
      <c r="AO13" s="13">
        <v>81</v>
      </c>
      <c r="AP13" s="13">
        <v>209</v>
      </c>
      <c r="AQ13" s="13">
        <v>56</v>
      </c>
      <c r="AR13" s="13">
        <v>2</v>
      </c>
      <c r="AS13" s="13">
        <v>5</v>
      </c>
      <c r="AT13" s="13" t="s">
        <v>545</v>
      </c>
      <c r="AU13" s="13">
        <v>10</v>
      </c>
      <c r="AV13" s="13">
        <v>2</v>
      </c>
      <c r="AW13" s="13" t="s">
        <v>545</v>
      </c>
      <c r="AX13" s="13" t="s">
        <v>545</v>
      </c>
      <c r="AY13" s="13" t="s">
        <v>545</v>
      </c>
      <c r="AZ13" s="13">
        <v>38</v>
      </c>
      <c r="BA13" s="13">
        <v>18</v>
      </c>
      <c r="BB13" s="13">
        <v>7</v>
      </c>
      <c r="BC13" s="13" t="s">
        <v>545</v>
      </c>
      <c r="BD13" s="13">
        <v>6</v>
      </c>
      <c r="BE13" s="13" t="s">
        <v>545</v>
      </c>
      <c r="BF13" s="13">
        <v>12</v>
      </c>
      <c r="BG13" s="13">
        <v>196</v>
      </c>
      <c r="BH13" s="13">
        <v>814</v>
      </c>
      <c r="BI13" s="13">
        <v>235</v>
      </c>
      <c r="BJ13" s="13">
        <v>5</v>
      </c>
      <c r="BK13" s="13">
        <v>343</v>
      </c>
      <c r="BL13" s="13">
        <v>26</v>
      </c>
      <c r="BM13" s="13">
        <v>6</v>
      </c>
      <c r="BN13" s="13">
        <v>325</v>
      </c>
      <c r="BO13" s="13">
        <v>30</v>
      </c>
      <c r="BP13" s="13">
        <v>928</v>
      </c>
      <c r="BQ13" s="13" t="s">
        <v>566</v>
      </c>
      <c r="BR13" s="13">
        <v>22</v>
      </c>
      <c r="BS13" s="13">
        <v>36</v>
      </c>
      <c r="BT13" s="13">
        <v>18</v>
      </c>
      <c r="BU13" s="13">
        <v>122</v>
      </c>
      <c r="BV13" s="13">
        <v>15</v>
      </c>
      <c r="BW13" s="13">
        <v>18</v>
      </c>
      <c r="BX13" s="13">
        <v>3</v>
      </c>
      <c r="BY13" s="13">
        <v>2</v>
      </c>
      <c r="BZ13" s="13">
        <v>38</v>
      </c>
      <c r="CA13" s="13" t="s">
        <v>545</v>
      </c>
      <c r="CB13" s="13" t="s">
        <v>545</v>
      </c>
      <c r="CC13" s="13" t="s">
        <v>545</v>
      </c>
      <c r="CD13" s="13">
        <v>1</v>
      </c>
      <c r="CE13" s="13" t="s">
        <v>545</v>
      </c>
      <c r="CF13" s="13">
        <v>1</v>
      </c>
      <c r="CG13" s="13" t="s">
        <v>545</v>
      </c>
      <c r="CH13" s="13">
        <v>18</v>
      </c>
      <c r="CI13" s="13">
        <v>20</v>
      </c>
      <c r="CJ13" s="13">
        <v>4</v>
      </c>
      <c r="CK13" s="13" t="s">
        <v>545</v>
      </c>
      <c r="CL13" s="13">
        <v>22</v>
      </c>
      <c r="CM13" s="13">
        <v>21</v>
      </c>
      <c r="CN13" s="13">
        <v>4</v>
      </c>
      <c r="CO13" s="13">
        <v>32</v>
      </c>
      <c r="CP13" s="13">
        <v>16</v>
      </c>
      <c r="CQ13" s="13">
        <v>113</v>
      </c>
      <c r="CR13" s="13">
        <v>532</v>
      </c>
      <c r="CS13" s="13">
        <v>409</v>
      </c>
      <c r="CT13" s="13">
        <v>472</v>
      </c>
      <c r="CU13" s="13">
        <v>14</v>
      </c>
      <c r="CV13" s="13">
        <v>3</v>
      </c>
      <c r="CW13" s="13">
        <v>25</v>
      </c>
      <c r="CX13" s="13">
        <v>47</v>
      </c>
      <c r="CY13" s="13">
        <v>18</v>
      </c>
      <c r="CZ13" s="13">
        <v>32</v>
      </c>
      <c r="DA13" s="13">
        <v>26</v>
      </c>
      <c r="DB13" s="13" t="s">
        <v>545</v>
      </c>
      <c r="DC13" s="32" t="s">
        <v>567</v>
      </c>
    </row>
    <row r="14" spans="1:107" ht="19">
      <c r="A14" s="9" t="s">
        <v>130</v>
      </c>
      <c r="B14" s="9" t="s">
        <v>131</v>
      </c>
      <c r="C14" s="13">
        <v>15</v>
      </c>
      <c r="D14" s="13" t="s">
        <v>545</v>
      </c>
      <c r="E14" s="13" t="s">
        <v>545</v>
      </c>
      <c r="F14" s="13" t="s">
        <v>545</v>
      </c>
      <c r="G14" s="13">
        <v>6</v>
      </c>
      <c r="H14" s="13">
        <v>6</v>
      </c>
      <c r="I14" s="13">
        <v>3</v>
      </c>
      <c r="J14" s="13">
        <v>47</v>
      </c>
      <c r="K14" s="13">
        <v>837</v>
      </c>
      <c r="L14" s="13">
        <v>2</v>
      </c>
      <c r="M14" s="13">
        <v>64</v>
      </c>
      <c r="N14" s="13">
        <v>157</v>
      </c>
      <c r="O14" s="13">
        <v>366</v>
      </c>
      <c r="P14" s="13">
        <v>884</v>
      </c>
      <c r="Q14" s="13">
        <v>162</v>
      </c>
      <c r="R14" s="13">
        <v>82</v>
      </c>
      <c r="S14" s="13">
        <v>762</v>
      </c>
      <c r="T14" s="13">
        <v>2</v>
      </c>
      <c r="U14" s="13" t="s">
        <v>545</v>
      </c>
      <c r="V14" s="13" t="s">
        <v>545</v>
      </c>
      <c r="W14" s="13">
        <v>4</v>
      </c>
      <c r="X14" s="13">
        <v>8</v>
      </c>
      <c r="Y14" s="13">
        <v>2</v>
      </c>
      <c r="Z14" s="13">
        <v>6</v>
      </c>
      <c r="AA14" s="13">
        <v>2</v>
      </c>
      <c r="AB14" s="13">
        <v>2</v>
      </c>
      <c r="AC14" s="13" t="s">
        <v>545</v>
      </c>
      <c r="AD14" s="13" t="s">
        <v>545</v>
      </c>
      <c r="AE14" s="13">
        <v>3</v>
      </c>
      <c r="AF14" s="13" t="s">
        <v>545</v>
      </c>
      <c r="AG14" s="13">
        <v>11</v>
      </c>
      <c r="AH14" s="13">
        <v>8</v>
      </c>
      <c r="AI14" s="13">
        <v>3</v>
      </c>
      <c r="AJ14" s="13" t="s">
        <v>545</v>
      </c>
      <c r="AK14" s="13" t="s">
        <v>545</v>
      </c>
      <c r="AL14" s="13">
        <v>2</v>
      </c>
      <c r="AM14" s="13">
        <v>2</v>
      </c>
      <c r="AN14" s="13">
        <v>59</v>
      </c>
      <c r="AO14" s="13">
        <v>55</v>
      </c>
      <c r="AP14" s="13">
        <v>137</v>
      </c>
      <c r="AQ14" s="13">
        <v>38</v>
      </c>
      <c r="AR14" s="13">
        <v>2</v>
      </c>
      <c r="AS14" s="13">
        <v>3</v>
      </c>
      <c r="AT14" s="13" t="s">
        <v>545</v>
      </c>
      <c r="AU14" s="13">
        <v>6</v>
      </c>
      <c r="AV14" s="13">
        <v>3</v>
      </c>
      <c r="AW14" s="13" t="s">
        <v>545</v>
      </c>
      <c r="AX14" s="13" t="s">
        <v>545</v>
      </c>
      <c r="AY14" s="13" t="s">
        <v>545</v>
      </c>
      <c r="AZ14" s="13">
        <v>27</v>
      </c>
      <c r="BA14" s="13">
        <v>14</v>
      </c>
      <c r="BB14" s="13">
        <v>4</v>
      </c>
      <c r="BC14" s="13" t="s">
        <v>545</v>
      </c>
      <c r="BD14" s="13">
        <v>6</v>
      </c>
      <c r="BE14" s="13" t="s">
        <v>545</v>
      </c>
      <c r="BF14" s="13">
        <v>14</v>
      </c>
      <c r="BG14" s="13">
        <v>130</v>
      </c>
      <c r="BH14" s="13" t="s">
        <v>545</v>
      </c>
      <c r="BI14" s="13">
        <v>155</v>
      </c>
      <c r="BJ14" s="13">
        <v>27</v>
      </c>
      <c r="BK14" s="13">
        <v>298</v>
      </c>
      <c r="BL14" s="13">
        <v>17</v>
      </c>
      <c r="BM14" s="13">
        <v>4</v>
      </c>
      <c r="BN14" s="13">
        <v>327</v>
      </c>
      <c r="BO14" s="13">
        <v>21</v>
      </c>
      <c r="BP14" s="13">
        <v>883</v>
      </c>
      <c r="BQ14" s="13" t="s">
        <v>568</v>
      </c>
      <c r="BR14" s="13">
        <v>80</v>
      </c>
      <c r="BS14" s="13">
        <v>28</v>
      </c>
      <c r="BT14" s="13">
        <v>11</v>
      </c>
      <c r="BU14" s="13">
        <v>84</v>
      </c>
      <c r="BV14" s="13">
        <v>11</v>
      </c>
      <c r="BW14" s="13">
        <v>86</v>
      </c>
      <c r="BX14" s="13">
        <v>9</v>
      </c>
      <c r="BY14" s="13">
        <v>1</v>
      </c>
      <c r="BZ14" s="13">
        <v>38</v>
      </c>
      <c r="CA14" s="13" t="s">
        <v>545</v>
      </c>
      <c r="CB14" s="13" t="s">
        <v>545</v>
      </c>
      <c r="CC14" s="13" t="s">
        <v>545</v>
      </c>
      <c r="CD14" s="13">
        <v>1</v>
      </c>
      <c r="CE14" s="13" t="s">
        <v>545</v>
      </c>
      <c r="CF14" s="13" t="s">
        <v>545</v>
      </c>
      <c r="CG14" s="13" t="s">
        <v>545</v>
      </c>
      <c r="CH14" s="13">
        <v>9</v>
      </c>
      <c r="CI14" s="13">
        <v>12</v>
      </c>
      <c r="CJ14" s="13" t="s">
        <v>545</v>
      </c>
      <c r="CK14" s="13" t="s">
        <v>545</v>
      </c>
      <c r="CL14" s="13">
        <v>16</v>
      </c>
      <c r="CM14" s="13">
        <v>11</v>
      </c>
      <c r="CN14" s="13">
        <v>3</v>
      </c>
      <c r="CO14" s="13">
        <v>24</v>
      </c>
      <c r="CP14" s="13">
        <v>339</v>
      </c>
      <c r="CQ14" s="13">
        <v>67</v>
      </c>
      <c r="CR14" s="13">
        <v>480</v>
      </c>
      <c r="CS14" s="13">
        <v>236</v>
      </c>
      <c r="CT14" s="13">
        <v>301</v>
      </c>
      <c r="CU14" s="13">
        <v>9</v>
      </c>
      <c r="CV14" s="13" t="s">
        <v>545</v>
      </c>
      <c r="CW14" s="13">
        <v>22</v>
      </c>
      <c r="CX14" s="13">
        <v>152</v>
      </c>
      <c r="CY14" s="13">
        <v>13</v>
      </c>
      <c r="CZ14" s="13">
        <v>25</v>
      </c>
      <c r="DA14" s="13">
        <v>16</v>
      </c>
      <c r="DB14" s="13" t="s">
        <v>545</v>
      </c>
      <c r="DC14" s="32" t="s">
        <v>569</v>
      </c>
    </row>
    <row r="15" spans="1:107" ht="19">
      <c r="A15" s="14" t="s">
        <v>132</v>
      </c>
      <c r="B15" s="14" t="s">
        <v>133</v>
      </c>
      <c r="C15" s="15">
        <v>1</v>
      </c>
      <c r="D15" s="15" t="s">
        <v>545</v>
      </c>
      <c r="E15" s="15" t="s">
        <v>545</v>
      </c>
      <c r="F15" s="15" t="s">
        <v>545</v>
      </c>
      <c r="G15" s="15">
        <v>1</v>
      </c>
      <c r="H15" s="15" t="s">
        <v>545</v>
      </c>
      <c r="I15" s="15" t="s">
        <v>545</v>
      </c>
      <c r="J15" s="15">
        <v>75</v>
      </c>
      <c r="K15" s="15">
        <v>274</v>
      </c>
      <c r="L15" s="15">
        <v>666</v>
      </c>
      <c r="M15" s="15">
        <v>98</v>
      </c>
      <c r="N15" s="15">
        <v>625</v>
      </c>
      <c r="O15" s="15">
        <v>416</v>
      </c>
      <c r="P15" s="15">
        <v>324</v>
      </c>
      <c r="Q15" s="15">
        <v>187</v>
      </c>
      <c r="R15" s="15">
        <v>4</v>
      </c>
      <c r="S15" s="15" t="s">
        <v>545</v>
      </c>
      <c r="T15" s="15" t="s">
        <v>545</v>
      </c>
      <c r="U15" s="15" t="s">
        <v>545</v>
      </c>
      <c r="V15" s="15" t="s">
        <v>545</v>
      </c>
      <c r="W15" s="15" t="s">
        <v>545</v>
      </c>
      <c r="X15" s="15" t="s">
        <v>545</v>
      </c>
      <c r="Y15" s="15" t="s">
        <v>545</v>
      </c>
      <c r="Z15" s="15">
        <v>1</v>
      </c>
      <c r="AA15" s="15">
        <v>1</v>
      </c>
      <c r="AB15" s="15">
        <v>28</v>
      </c>
      <c r="AC15" s="15" t="s">
        <v>545</v>
      </c>
      <c r="AD15" s="15" t="s">
        <v>545</v>
      </c>
      <c r="AE15" s="15" t="s">
        <v>545</v>
      </c>
      <c r="AF15" s="15" t="s">
        <v>545</v>
      </c>
      <c r="AG15" s="15">
        <v>1</v>
      </c>
      <c r="AH15" s="15" t="s">
        <v>545</v>
      </c>
      <c r="AI15" s="15" t="s">
        <v>545</v>
      </c>
      <c r="AJ15" s="15" t="s">
        <v>545</v>
      </c>
      <c r="AK15" s="15">
        <v>2</v>
      </c>
      <c r="AL15" s="15" t="s">
        <v>545</v>
      </c>
      <c r="AM15" s="15" t="s">
        <v>545</v>
      </c>
      <c r="AN15" s="15">
        <v>5</v>
      </c>
      <c r="AO15" s="15">
        <v>4</v>
      </c>
      <c r="AP15" s="15">
        <v>12</v>
      </c>
      <c r="AQ15" s="15">
        <v>4</v>
      </c>
      <c r="AR15" s="15" t="s">
        <v>545</v>
      </c>
      <c r="AS15" s="15" t="s">
        <v>545</v>
      </c>
      <c r="AT15" s="15" t="s">
        <v>545</v>
      </c>
      <c r="AU15" s="15" t="s">
        <v>545</v>
      </c>
      <c r="AV15" s="15" t="s">
        <v>545</v>
      </c>
      <c r="AW15" s="15" t="s">
        <v>545</v>
      </c>
      <c r="AX15" s="15" t="s">
        <v>545</v>
      </c>
      <c r="AY15" s="15" t="s">
        <v>545</v>
      </c>
      <c r="AZ15" s="15">
        <v>2</v>
      </c>
      <c r="BA15" s="15" t="s">
        <v>545</v>
      </c>
      <c r="BB15" s="15" t="s">
        <v>545</v>
      </c>
      <c r="BC15" s="15" t="s">
        <v>545</v>
      </c>
      <c r="BD15" s="15" t="s">
        <v>545</v>
      </c>
      <c r="BE15" s="15" t="s">
        <v>545</v>
      </c>
      <c r="BF15" s="15" t="s">
        <v>545</v>
      </c>
      <c r="BG15" s="15">
        <v>12</v>
      </c>
      <c r="BH15" s="15" t="s">
        <v>545</v>
      </c>
      <c r="BI15" s="15">
        <v>20</v>
      </c>
      <c r="BJ15" s="15" t="s">
        <v>545</v>
      </c>
      <c r="BK15" s="15">
        <v>29</v>
      </c>
      <c r="BL15" s="15">
        <v>3</v>
      </c>
      <c r="BM15" s="15" t="s">
        <v>545</v>
      </c>
      <c r="BN15" s="15">
        <v>35</v>
      </c>
      <c r="BO15" s="15">
        <v>3</v>
      </c>
      <c r="BP15" s="15">
        <v>110</v>
      </c>
      <c r="BQ15" s="15">
        <v>682</v>
      </c>
      <c r="BR15" s="15">
        <v>6</v>
      </c>
      <c r="BS15" s="15">
        <v>3</v>
      </c>
      <c r="BT15" s="15">
        <v>1</v>
      </c>
      <c r="BU15" s="15">
        <v>8</v>
      </c>
      <c r="BV15" s="15" t="s">
        <v>545</v>
      </c>
      <c r="BW15" s="15">
        <v>19</v>
      </c>
      <c r="BX15" s="15" t="s">
        <v>545</v>
      </c>
      <c r="BY15" s="15" t="s">
        <v>545</v>
      </c>
      <c r="BZ15" s="15">
        <v>38</v>
      </c>
      <c r="CA15" s="15" t="s">
        <v>545</v>
      </c>
      <c r="CB15" s="15" t="s">
        <v>545</v>
      </c>
      <c r="CC15" s="15" t="s">
        <v>545</v>
      </c>
      <c r="CD15" s="15" t="s">
        <v>545</v>
      </c>
      <c r="CE15" s="15" t="s">
        <v>545</v>
      </c>
      <c r="CF15" s="15" t="s">
        <v>545</v>
      </c>
      <c r="CG15" s="15" t="s">
        <v>545</v>
      </c>
      <c r="CH15" s="15" t="s">
        <v>545</v>
      </c>
      <c r="CI15" s="15">
        <v>3</v>
      </c>
      <c r="CJ15" s="15" t="s">
        <v>545</v>
      </c>
      <c r="CK15" s="15" t="s">
        <v>545</v>
      </c>
      <c r="CL15" s="15">
        <v>2</v>
      </c>
      <c r="CM15" s="15">
        <v>1</v>
      </c>
      <c r="CN15" s="15" t="s">
        <v>545</v>
      </c>
      <c r="CO15" s="15">
        <v>3</v>
      </c>
      <c r="CP15" s="15">
        <v>146</v>
      </c>
      <c r="CQ15" s="15">
        <v>4</v>
      </c>
      <c r="CR15" s="15">
        <v>46</v>
      </c>
      <c r="CS15" s="15">
        <v>33</v>
      </c>
      <c r="CT15" s="15">
        <v>94</v>
      </c>
      <c r="CU15" s="15">
        <v>3</v>
      </c>
      <c r="CV15" s="15" t="s">
        <v>545</v>
      </c>
      <c r="CW15" s="15">
        <v>3</v>
      </c>
      <c r="CX15" s="15">
        <v>25</v>
      </c>
      <c r="CY15" s="15">
        <v>3</v>
      </c>
      <c r="CZ15" s="15">
        <v>3</v>
      </c>
      <c r="DA15" s="15">
        <v>2</v>
      </c>
      <c r="DB15" s="15" t="s">
        <v>545</v>
      </c>
      <c r="DC15" s="34" t="s">
        <v>570</v>
      </c>
    </row>
    <row r="16" spans="1:107" ht="19">
      <c r="A16" s="9" t="s">
        <v>134</v>
      </c>
      <c r="B16" s="9" t="s">
        <v>135</v>
      </c>
      <c r="C16" s="13">
        <v>16</v>
      </c>
      <c r="D16" s="13" t="s">
        <v>545</v>
      </c>
      <c r="E16" s="13" t="s">
        <v>545</v>
      </c>
      <c r="F16" s="13" t="s">
        <v>545</v>
      </c>
      <c r="G16" s="13">
        <v>7</v>
      </c>
      <c r="H16" s="13">
        <v>3</v>
      </c>
      <c r="I16" s="13">
        <v>5</v>
      </c>
      <c r="J16" s="13">
        <v>42</v>
      </c>
      <c r="K16" s="13">
        <v>84</v>
      </c>
      <c r="L16" s="13">
        <v>31</v>
      </c>
      <c r="M16" s="13" t="s">
        <v>571</v>
      </c>
      <c r="N16" s="13">
        <v>91</v>
      </c>
      <c r="O16" s="13" t="s">
        <v>572</v>
      </c>
      <c r="P16" s="13">
        <v>830</v>
      </c>
      <c r="Q16" s="13">
        <v>4</v>
      </c>
      <c r="R16" s="13">
        <v>48</v>
      </c>
      <c r="S16" s="13">
        <v>1</v>
      </c>
      <c r="T16" s="13">
        <v>3</v>
      </c>
      <c r="U16" s="13" t="s">
        <v>545</v>
      </c>
      <c r="V16" s="13" t="s">
        <v>545</v>
      </c>
      <c r="W16" s="13">
        <v>4</v>
      </c>
      <c r="X16" s="13">
        <v>7</v>
      </c>
      <c r="Y16" s="13">
        <v>3</v>
      </c>
      <c r="Z16" s="13">
        <v>7</v>
      </c>
      <c r="AA16" s="13">
        <v>2</v>
      </c>
      <c r="AB16" s="13">
        <v>2</v>
      </c>
      <c r="AC16" s="13">
        <v>1</v>
      </c>
      <c r="AD16" s="13">
        <v>2</v>
      </c>
      <c r="AE16" s="13">
        <v>6</v>
      </c>
      <c r="AF16" s="13" t="s">
        <v>545</v>
      </c>
      <c r="AG16" s="13">
        <v>14</v>
      </c>
      <c r="AH16" s="13">
        <v>8</v>
      </c>
      <c r="AI16" s="13">
        <v>4</v>
      </c>
      <c r="AJ16" s="13" t="s">
        <v>545</v>
      </c>
      <c r="AK16" s="13" t="s">
        <v>545</v>
      </c>
      <c r="AL16" s="13">
        <v>5</v>
      </c>
      <c r="AM16" s="13">
        <v>3</v>
      </c>
      <c r="AN16" s="13">
        <v>9</v>
      </c>
      <c r="AO16" s="13">
        <v>14</v>
      </c>
      <c r="AP16" s="13">
        <v>7</v>
      </c>
      <c r="AQ16" s="13">
        <v>4</v>
      </c>
      <c r="AR16" s="13" t="s">
        <v>545</v>
      </c>
      <c r="AS16" s="13">
        <v>2</v>
      </c>
      <c r="AT16" s="13" t="s">
        <v>545</v>
      </c>
      <c r="AU16" s="13">
        <v>4</v>
      </c>
      <c r="AV16" s="13">
        <v>3</v>
      </c>
      <c r="AW16" s="13" t="s">
        <v>545</v>
      </c>
      <c r="AX16" s="13" t="s">
        <v>545</v>
      </c>
      <c r="AY16" s="13" t="s">
        <v>545</v>
      </c>
      <c r="AZ16" s="13">
        <v>29</v>
      </c>
      <c r="BA16" s="13">
        <v>8</v>
      </c>
      <c r="BB16" s="13">
        <v>4</v>
      </c>
      <c r="BC16" s="13" t="s">
        <v>545</v>
      </c>
      <c r="BD16" s="13">
        <v>7</v>
      </c>
      <c r="BE16" s="13" t="s">
        <v>545</v>
      </c>
      <c r="BF16" s="13">
        <v>8</v>
      </c>
      <c r="BG16" s="13">
        <v>139</v>
      </c>
      <c r="BH16" s="13" t="s">
        <v>545</v>
      </c>
      <c r="BI16" s="13">
        <v>136</v>
      </c>
      <c r="BJ16" s="13">
        <v>2</v>
      </c>
      <c r="BK16" s="13">
        <v>167</v>
      </c>
      <c r="BL16" s="13">
        <v>23</v>
      </c>
      <c r="BM16" s="13">
        <v>5</v>
      </c>
      <c r="BN16" s="13">
        <v>203</v>
      </c>
      <c r="BO16" s="13">
        <v>21</v>
      </c>
      <c r="BP16" s="13">
        <v>383</v>
      </c>
      <c r="BQ16" s="13" t="s">
        <v>573</v>
      </c>
      <c r="BR16" s="13">
        <v>81</v>
      </c>
      <c r="BS16" s="13">
        <v>26</v>
      </c>
      <c r="BT16" s="13">
        <v>12</v>
      </c>
      <c r="BU16" s="13">
        <v>81</v>
      </c>
      <c r="BV16" s="13">
        <v>11</v>
      </c>
      <c r="BW16" s="13">
        <v>46</v>
      </c>
      <c r="BX16" s="13">
        <v>4</v>
      </c>
      <c r="BY16" s="13">
        <v>45</v>
      </c>
      <c r="BZ16" s="13">
        <v>32</v>
      </c>
      <c r="CA16" s="13" t="s">
        <v>545</v>
      </c>
      <c r="CB16" s="13" t="s">
        <v>545</v>
      </c>
      <c r="CC16" s="13" t="s">
        <v>545</v>
      </c>
      <c r="CD16" s="13">
        <v>1</v>
      </c>
      <c r="CE16" s="13" t="s">
        <v>545</v>
      </c>
      <c r="CF16" s="13" t="s">
        <v>545</v>
      </c>
      <c r="CG16" s="13" t="s">
        <v>545</v>
      </c>
      <c r="CH16" s="13">
        <v>13</v>
      </c>
      <c r="CI16" s="13">
        <v>10</v>
      </c>
      <c r="CJ16" s="13" t="s">
        <v>545</v>
      </c>
      <c r="CK16" s="13" t="s">
        <v>545</v>
      </c>
      <c r="CL16" s="13">
        <v>15</v>
      </c>
      <c r="CM16" s="13">
        <v>11</v>
      </c>
      <c r="CN16" s="13">
        <v>2</v>
      </c>
      <c r="CO16" s="13">
        <v>24</v>
      </c>
      <c r="CP16" s="13">
        <v>102</v>
      </c>
      <c r="CQ16" s="13">
        <v>4</v>
      </c>
      <c r="CR16" s="13">
        <v>241</v>
      </c>
      <c r="CS16" s="13">
        <v>89</v>
      </c>
      <c r="CT16" s="13">
        <v>122</v>
      </c>
      <c r="CU16" s="13">
        <v>8</v>
      </c>
      <c r="CV16" s="13" t="s">
        <v>545</v>
      </c>
      <c r="CW16" s="13">
        <v>30</v>
      </c>
      <c r="CX16" s="13">
        <v>111</v>
      </c>
      <c r="CY16" s="13">
        <v>12</v>
      </c>
      <c r="CZ16" s="13">
        <v>22</v>
      </c>
      <c r="DA16" s="13">
        <v>20</v>
      </c>
      <c r="DB16" s="13" t="s">
        <v>545</v>
      </c>
      <c r="DC16" s="32" t="s">
        <v>574</v>
      </c>
    </row>
    <row r="17" spans="1:107" ht="19">
      <c r="A17" s="9" t="s">
        <v>136</v>
      </c>
      <c r="B17" s="9" t="s">
        <v>137</v>
      </c>
      <c r="C17" s="13">
        <v>2</v>
      </c>
      <c r="D17" s="13" t="s">
        <v>545</v>
      </c>
      <c r="E17" s="13" t="s">
        <v>545</v>
      </c>
      <c r="F17" s="13" t="s">
        <v>545</v>
      </c>
      <c r="G17" s="13" t="s">
        <v>545</v>
      </c>
      <c r="H17" s="13" t="s">
        <v>545</v>
      </c>
      <c r="I17" s="13" t="s">
        <v>545</v>
      </c>
      <c r="J17" s="13">
        <v>770</v>
      </c>
      <c r="K17" s="13">
        <v>259</v>
      </c>
      <c r="L17" s="13" t="s">
        <v>545</v>
      </c>
      <c r="M17" s="13">
        <v>6</v>
      </c>
      <c r="N17" s="13" t="s">
        <v>575</v>
      </c>
      <c r="O17" s="13" t="s">
        <v>576</v>
      </c>
      <c r="P17" s="13">
        <v>282</v>
      </c>
      <c r="Q17" s="13" t="s">
        <v>577</v>
      </c>
      <c r="R17" s="13" t="s">
        <v>578</v>
      </c>
      <c r="S17" s="13" t="s">
        <v>545</v>
      </c>
      <c r="T17" s="13" t="s">
        <v>545</v>
      </c>
      <c r="U17" s="13" t="s">
        <v>545</v>
      </c>
      <c r="V17" s="13" t="s">
        <v>545</v>
      </c>
      <c r="W17" s="13" t="s">
        <v>545</v>
      </c>
      <c r="X17" s="13">
        <v>56</v>
      </c>
      <c r="Y17" s="13" t="s">
        <v>545</v>
      </c>
      <c r="Z17" s="13" t="s">
        <v>545</v>
      </c>
      <c r="AA17" s="13" t="s">
        <v>545</v>
      </c>
      <c r="AB17" s="13" t="s">
        <v>545</v>
      </c>
      <c r="AC17" s="13" t="s">
        <v>545</v>
      </c>
      <c r="AD17" s="13" t="s">
        <v>545</v>
      </c>
      <c r="AE17" s="13" t="s">
        <v>545</v>
      </c>
      <c r="AF17" s="13" t="s">
        <v>545</v>
      </c>
      <c r="AG17" s="13" t="s">
        <v>545</v>
      </c>
      <c r="AH17" s="13" t="s">
        <v>545</v>
      </c>
      <c r="AI17" s="13" t="s">
        <v>545</v>
      </c>
      <c r="AJ17" s="13" t="s">
        <v>545</v>
      </c>
      <c r="AK17" s="13" t="s">
        <v>545</v>
      </c>
      <c r="AL17" s="13" t="s">
        <v>545</v>
      </c>
      <c r="AM17" s="13" t="s">
        <v>545</v>
      </c>
      <c r="AN17" s="13" t="s">
        <v>545</v>
      </c>
      <c r="AO17" s="13" t="s">
        <v>545</v>
      </c>
      <c r="AP17" s="13" t="s">
        <v>545</v>
      </c>
      <c r="AQ17" s="13" t="s">
        <v>545</v>
      </c>
      <c r="AR17" s="13" t="s">
        <v>545</v>
      </c>
      <c r="AS17" s="13" t="s">
        <v>545</v>
      </c>
      <c r="AT17" s="13" t="s">
        <v>545</v>
      </c>
      <c r="AU17" s="13" t="s">
        <v>545</v>
      </c>
      <c r="AV17" s="13" t="s">
        <v>545</v>
      </c>
      <c r="AW17" s="13" t="s">
        <v>545</v>
      </c>
      <c r="AX17" s="13" t="s">
        <v>545</v>
      </c>
      <c r="AY17" s="13" t="s">
        <v>545</v>
      </c>
      <c r="AZ17" s="13" t="s">
        <v>545</v>
      </c>
      <c r="BA17" s="13" t="s">
        <v>545</v>
      </c>
      <c r="BB17" s="13" t="s">
        <v>545</v>
      </c>
      <c r="BC17" s="13" t="s">
        <v>545</v>
      </c>
      <c r="BD17" s="13" t="s">
        <v>545</v>
      </c>
      <c r="BE17" s="13" t="s">
        <v>545</v>
      </c>
      <c r="BF17" s="13" t="s">
        <v>545</v>
      </c>
      <c r="BG17" s="13" t="s">
        <v>545</v>
      </c>
      <c r="BH17" s="13" t="s">
        <v>545</v>
      </c>
      <c r="BI17" s="13">
        <v>99</v>
      </c>
      <c r="BJ17" s="13" t="s">
        <v>545</v>
      </c>
      <c r="BK17" s="13" t="s">
        <v>545</v>
      </c>
      <c r="BL17" s="13" t="s">
        <v>545</v>
      </c>
      <c r="BM17" s="13" t="s">
        <v>545</v>
      </c>
      <c r="BN17" s="13" t="s">
        <v>545</v>
      </c>
      <c r="BO17" s="13" t="s">
        <v>545</v>
      </c>
      <c r="BP17" s="13" t="s">
        <v>545</v>
      </c>
      <c r="BQ17" s="13">
        <v>509</v>
      </c>
      <c r="BR17" s="13" t="s">
        <v>545</v>
      </c>
      <c r="BS17" s="13" t="s">
        <v>545</v>
      </c>
      <c r="BT17" s="13" t="s">
        <v>545</v>
      </c>
      <c r="BU17" s="13" t="s">
        <v>545</v>
      </c>
      <c r="BV17" s="13" t="s">
        <v>545</v>
      </c>
      <c r="BW17" s="13" t="s">
        <v>545</v>
      </c>
      <c r="BX17" s="13" t="s">
        <v>545</v>
      </c>
      <c r="BY17" s="13">
        <v>1</v>
      </c>
      <c r="BZ17" s="13">
        <v>10</v>
      </c>
      <c r="CA17" s="13" t="s">
        <v>545</v>
      </c>
      <c r="CB17" s="13" t="s">
        <v>545</v>
      </c>
      <c r="CC17" s="13" t="s">
        <v>545</v>
      </c>
      <c r="CD17" s="13">
        <v>1</v>
      </c>
      <c r="CE17" s="13" t="s">
        <v>545</v>
      </c>
      <c r="CF17" s="13" t="s">
        <v>545</v>
      </c>
      <c r="CG17" s="13" t="s">
        <v>545</v>
      </c>
      <c r="CH17" s="13" t="s">
        <v>545</v>
      </c>
      <c r="CI17" s="13" t="s">
        <v>545</v>
      </c>
      <c r="CJ17" s="13" t="s">
        <v>545</v>
      </c>
      <c r="CK17" s="13" t="s">
        <v>545</v>
      </c>
      <c r="CL17" s="13" t="s">
        <v>545</v>
      </c>
      <c r="CM17" s="13" t="s">
        <v>545</v>
      </c>
      <c r="CN17" s="13" t="s">
        <v>545</v>
      </c>
      <c r="CO17" s="13" t="s">
        <v>545</v>
      </c>
      <c r="CP17" s="13" t="s">
        <v>545</v>
      </c>
      <c r="CQ17" s="13">
        <v>4</v>
      </c>
      <c r="CR17" s="13">
        <v>163</v>
      </c>
      <c r="CS17" s="13">
        <v>48</v>
      </c>
      <c r="CT17" s="13">
        <v>135</v>
      </c>
      <c r="CU17" s="13" t="s">
        <v>545</v>
      </c>
      <c r="CV17" s="13" t="s">
        <v>545</v>
      </c>
      <c r="CW17" s="13">
        <v>3</v>
      </c>
      <c r="CX17" s="13">
        <v>30</v>
      </c>
      <c r="CY17" s="13" t="s">
        <v>545</v>
      </c>
      <c r="CZ17" s="13" t="s">
        <v>545</v>
      </c>
      <c r="DA17" s="13">
        <v>2</v>
      </c>
      <c r="DB17" s="13" t="s">
        <v>545</v>
      </c>
      <c r="DC17" s="32" t="s">
        <v>579</v>
      </c>
    </row>
    <row r="18" spans="1:107" ht="19">
      <c r="A18" s="9" t="s">
        <v>138</v>
      </c>
      <c r="B18" s="9" t="s">
        <v>139</v>
      </c>
      <c r="C18" s="13">
        <v>22</v>
      </c>
      <c r="D18" s="13">
        <v>3</v>
      </c>
      <c r="E18" s="13">
        <v>2</v>
      </c>
      <c r="F18" s="13" t="s">
        <v>545</v>
      </c>
      <c r="G18" s="13">
        <v>8</v>
      </c>
      <c r="H18" s="13">
        <v>2</v>
      </c>
      <c r="I18" s="13">
        <v>5</v>
      </c>
      <c r="J18" s="13">
        <v>57</v>
      </c>
      <c r="K18" s="13">
        <v>4</v>
      </c>
      <c r="L18" s="13">
        <v>5</v>
      </c>
      <c r="M18" s="13">
        <v>11</v>
      </c>
      <c r="N18" s="13">
        <v>9</v>
      </c>
      <c r="O18" s="13">
        <v>388</v>
      </c>
      <c r="P18" s="13">
        <v>233</v>
      </c>
      <c r="Q18" s="13">
        <v>6</v>
      </c>
      <c r="R18" s="13">
        <v>68</v>
      </c>
      <c r="S18" s="13">
        <v>1</v>
      </c>
      <c r="T18" s="13">
        <v>5</v>
      </c>
      <c r="U18" s="13">
        <v>1</v>
      </c>
      <c r="V18" s="13" t="s">
        <v>545</v>
      </c>
      <c r="W18" s="13">
        <v>7</v>
      </c>
      <c r="X18" s="13">
        <v>8</v>
      </c>
      <c r="Y18" s="13">
        <v>4</v>
      </c>
      <c r="Z18" s="13">
        <v>8</v>
      </c>
      <c r="AA18" s="13">
        <v>2</v>
      </c>
      <c r="AB18" s="13">
        <v>2</v>
      </c>
      <c r="AC18" s="13">
        <v>3</v>
      </c>
      <c r="AD18" s="13">
        <v>1</v>
      </c>
      <c r="AE18" s="13">
        <v>8</v>
      </c>
      <c r="AF18" s="13" t="s">
        <v>545</v>
      </c>
      <c r="AG18" s="13">
        <v>20</v>
      </c>
      <c r="AH18" s="13">
        <v>10</v>
      </c>
      <c r="AI18" s="13">
        <v>4</v>
      </c>
      <c r="AJ18" s="13" t="s">
        <v>545</v>
      </c>
      <c r="AK18" s="13">
        <v>7</v>
      </c>
      <c r="AL18" s="13">
        <v>4</v>
      </c>
      <c r="AM18" s="13">
        <v>5</v>
      </c>
      <c r="AN18" s="13">
        <v>74</v>
      </c>
      <c r="AO18" s="13">
        <v>74</v>
      </c>
      <c r="AP18" s="13">
        <v>192</v>
      </c>
      <c r="AQ18" s="13">
        <v>48</v>
      </c>
      <c r="AR18" s="13">
        <v>2</v>
      </c>
      <c r="AS18" s="13">
        <v>6</v>
      </c>
      <c r="AT18" s="13" t="s">
        <v>545</v>
      </c>
      <c r="AU18" s="13">
        <v>9</v>
      </c>
      <c r="AV18" s="13">
        <v>3</v>
      </c>
      <c r="AW18" s="13" t="s">
        <v>545</v>
      </c>
      <c r="AX18" s="13" t="s">
        <v>545</v>
      </c>
      <c r="AY18" s="13" t="s">
        <v>545</v>
      </c>
      <c r="AZ18" s="13">
        <v>38</v>
      </c>
      <c r="BA18" s="13">
        <v>12</v>
      </c>
      <c r="BB18" s="13">
        <v>4</v>
      </c>
      <c r="BC18" s="13" t="s">
        <v>545</v>
      </c>
      <c r="BD18" s="13">
        <v>9</v>
      </c>
      <c r="BE18" s="13" t="s">
        <v>545</v>
      </c>
      <c r="BF18" s="13">
        <v>10</v>
      </c>
      <c r="BG18" s="13">
        <v>167</v>
      </c>
      <c r="BH18" s="13" t="s">
        <v>545</v>
      </c>
      <c r="BI18" s="13">
        <v>205</v>
      </c>
      <c r="BJ18" s="13">
        <v>4</v>
      </c>
      <c r="BK18" s="13">
        <v>394</v>
      </c>
      <c r="BL18" s="13">
        <v>25</v>
      </c>
      <c r="BM18" s="13">
        <v>5</v>
      </c>
      <c r="BN18" s="13">
        <v>429</v>
      </c>
      <c r="BO18" s="13">
        <v>27</v>
      </c>
      <c r="BP18" s="13">
        <v>468</v>
      </c>
      <c r="BQ18" s="13" t="s">
        <v>580</v>
      </c>
      <c r="BR18" s="13">
        <v>97</v>
      </c>
      <c r="BS18" s="13">
        <v>36</v>
      </c>
      <c r="BT18" s="13">
        <v>14</v>
      </c>
      <c r="BU18" s="13">
        <v>101</v>
      </c>
      <c r="BV18" s="13">
        <v>11</v>
      </c>
      <c r="BW18" s="13">
        <v>42</v>
      </c>
      <c r="BX18" s="13">
        <v>7</v>
      </c>
      <c r="BY18" s="13">
        <v>19</v>
      </c>
      <c r="BZ18" s="13">
        <v>44</v>
      </c>
      <c r="CA18" s="13" t="s">
        <v>545</v>
      </c>
      <c r="CB18" s="13" t="s">
        <v>545</v>
      </c>
      <c r="CC18" s="13" t="s">
        <v>545</v>
      </c>
      <c r="CD18" s="13">
        <v>1</v>
      </c>
      <c r="CE18" s="13" t="s">
        <v>545</v>
      </c>
      <c r="CF18" s="13">
        <v>4</v>
      </c>
      <c r="CG18" s="13" t="s">
        <v>545</v>
      </c>
      <c r="CH18" s="13">
        <v>17</v>
      </c>
      <c r="CI18" s="13">
        <v>14</v>
      </c>
      <c r="CJ18" s="13">
        <v>2</v>
      </c>
      <c r="CK18" s="13" t="s">
        <v>545</v>
      </c>
      <c r="CL18" s="13">
        <v>19</v>
      </c>
      <c r="CM18" s="13">
        <v>15</v>
      </c>
      <c r="CN18" s="13">
        <v>3</v>
      </c>
      <c r="CO18" s="13">
        <v>30</v>
      </c>
      <c r="CP18" s="13">
        <v>87</v>
      </c>
      <c r="CQ18" s="13">
        <v>5</v>
      </c>
      <c r="CR18" s="13">
        <v>324</v>
      </c>
      <c r="CS18" s="13">
        <v>134</v>
      </c>
      <c r="CT18" s="13">
        <v>239</v>
      </c>
      <c r="CU18" s="13">
        <v>14</v>
      </c>
      <c r="CV18" s="13">
        <v>1</v>
      </c>
      <c r="CW18" s="13">
        <v>20</v>
      </c>
      <c r="CX18" s="13">
        <v>121</v>
      </c>
      <c r="CY18" s="13">
        <v>15</v>
      </c>
      <c r="CZ18" s="13">
        <v>28</v>
      </c>
      <c r="DA18" s="13">
        <v>28</v>
      </c>
      <c r="DB18" s="13" t="s">
        <v>545</v>
      </c>
      <c r="DC18" s="32" t="s">
        <v>581</v>
      </c>
    </row>
    <row r="19" spans="1:107" ht="19">
      <c r="A19" s="9" t="s">
        <v>140</v>
      </c>
      <c r="B19" s="9" t="s">
        <v>141</v>
      </c>
      <c r="C19" s="13">
        <v>9</v>
      </c>
      <c r="D19" s="13" t="s">
        <v>545</v>
      </c>
      <c r="E19" s="13" t="s">
        <v>545</v>
      </c>
      <c r="F19" s="13" t="s">
        <v>545</v>
      </c>
      <c r="G19" s="13">
        <v>3</v>
      </c>
      <c r="H19" s="13">
        <v>8</v>
      </c>
      <c r="I19" s="13">
        <v>3</v>
      </c>
      <c r="J19" s="13">
        <v>244</v>
      </c>
      <c r="K19" s="13">
        <v>558</v>
      </c>
      <c r="L19" s="13">
        <v>2</v>
      </c>
      <c r="M19" s="13">
        <v>237</v>
      </c>
      <c r="N19" s="13">
        <v>606</v>
      </c>
      <c r="O19" s="13" t="s">
        <v>582</v>
      </c>
      <c r="P19" s="13" t="s">
        <v>583</v>
      </c>
      <c r="Q19" s="13">
        <v>282</v>
      </c>
      <c r="R19" s="13">
        <v>125</v>
      </c>
      <c r="S19" s="13">
        <v>602</v>
      </c>
      <c r="T19" s="13">
        <v>3</v>
      </c>
      <c r="U19" s="13" t="s">
        <v>545</v>
      </c>
      <c r="V19" s="13" t="s">
        <v>545</v>
      </c>
      <c r="W19" s="13">
        <v>5</v>
      </c>
      <c r="X19" s="13">
        <v>8</v>
      </c>
      <c r="Y19" s="13">
        <v>3</v>
      </c>
      <c r="Z19" s="13">
        <v>4</v>
      </c>
      <c r="AA19" s="13" t="s">
        <v>545</v>
      </c>
      <c r="AB19" s="13" t="s">
        <v>545</v>
      </c>
      <c r="AC19" s="13">
        <v>6</v>
      </c>
      <c r="AD19" s="13" t="s">
        <v>545</v>
      </c>
      <c r="AE19" s="13">
        <v>5</v>
      </c>
      <c r="AF19" s="13" t="s">
        <v>545</v>
      </c>
      <c r="AG19" s="13">
        <v>6</v>
      </c>
      <c r="AH19" s="13">
        <v>5</v>
      </c>
      <c r="AI19" s="13">
        <v>3</v>
      </c>
      <c r="AJ19" s="13" t="s">
        <v>545</v>
      </c>
      <c r="AK19" s="13" t="s">
        <v>545</v>
      </c>
      <c r="AL19" s="13">
        <v>1</v>
      </c>
      <c r="AM19" s="13">
        <v>2</v>
      </c>
      <c r="AN19" s="13">
        <v>32</v>
      </c>
      <c r="AO19" s="13">
        <v>29</v>
      </c>
      <c r="AP19" s="13">
        <v>72</v>
      </c>
      <c r="AQ19" s="13">
        <v>20</v>
      </c>
      <c r="AR19" s="13" t="s">
        <v>545</v>
      </c>
      <c r="AS19" s="13">
        <v>2</v>
      </c>
      <c r="AT19" s="13" t="s">
        <v>545</v>
      </c>
      <c r="AU19" s="13">
        <v>5</v>
      </c>
      <c r="AV19" s="13">
        <v>2</v>
      </c>
      <c r="AW19" s="13" t="s">
        <v>545</v>
      </c>
      <c r="AX19" s="13" t="s">
        <v>545</v>
      </c>
      <c r="AY19" s="13" t="s">
        <v>545</v>
      </c>
      <c r="AZ19" s="13">
        <v>14</v>
      </c>
      <c r="BA19" s="13">
        <v>6</v>
      </c>
      <c r="BB19" s="13">
        <v>1</v>
      </c>
      <c r="BC19" s="13" t="s">
        <v>545</v>
      </c>
      <c r="BD19" s="13">
        <v>7</v>
      </c>
      <c r="BE19" s="13" t="s">
        <v>545</v>
      </c>
      <c r="BF19" s="13">
        <v>4</v>
      </c>
      <c r="BG19" s="13">
        <v>65</v>
      </c>
      <c r="BH19" s="13" t="s">
        <v>545</v>
      </c>
      <c r="BI19" s="13">
        <v>84</v>
      </c>
      <c r="BJ19" s="13">
        <v>2</v>
      </c>
      <c r="BK19" s="13">
        <v>155</v>
      </c>
      <c r="BL19" s="13">
        <v>9</v>
      </c>
      <c r="BM19" s="13">
        <v>3</v>
      </c>
      <c r="BN19" s="13">
        <v>196</v>
      </c>
      <c r="BO19" s="13">
        <v>10</v>
      </c>
      <c r="BP19" s="13">
        <v>948</v>
      </c>
      <c r="BQ19" s="13" t="s">
        <v>584</v>
      </c>
      <c r="BR19" s="13">
        <v>41</v>
      </c>
      <c r="BS19" s="13">
        <v>16</v>
      </c>
      <c r="BT19" s="13">
        <v>8</v>
      </c>
      <c r="BU19" s="13">
        <v>43</v>
      </c>
      <c r="BV19" s="13">
        <v>7</v>
      </c>
      <c r="BW19" s="13">
        <v>104</v>
      </c>
      <c r="BX19" s="13">
        <v>14</v>
      </c>
      <c r="BY19" s="13">
        <v>57</v>
      </c>
      <c r="BZ19" s="13">
        <v>42</v>
      </c>
      <c r="CA19" s="13" t="s">
        <v>545</v>
      </c>
      <c r="CB19" s="13" t="s">
        <v>545</v>
      </c>
      <c r="CC19" s="13" t="s">
        <v>545</v>
      </c>
      <c r="CD19" s="13">
        <v>1</v>
      </c>
      <c r="CE19" s="13" t="s">
        <v>545</v>
      </c>
      <c r="CF19" s="13">
        <v>11</v>
      </c>
      <c r="CG19" s="13" t="s">
        <v>545</v>
      </c>
      <c r="CH19" s="13">
        <v>3</v>
      </c>
      <c r="CI19" s="13">
        <v>7</v>
      </c>
      <c r="CJ19" s="13" t="s">
        <v>545</v>
      </c>
      <c r="CK19" s="13" t="s">
        <v>545</v>
      </c>
      <c r="CL19" s="13">
        <v>8</v>
      </c>
      <c r="CM19" s="13">
        <v>6</v>
      </c>
      <c r="CN19" s="13" t="s">
        <v>545</v>
      </c>
      <c r="CO19" s="13">
        <v>13</v>
      </c>
      <c r="CP19" s="13">
        <v>38</v>
      </c>
      <c r="CQ19" s="13">
        <v>8</v>
      </c>
      <c r="CR19" s="13">
        <v>455</v>
      </c>
      <c r="CS19" s="13">
        <v>361</v>
      </c>
      <c r="CT19" s="13">
        <v>951</v>
      </c>
      <c r="CU19" s="13">
        <v>30</v>
      </c>
      <c r="CV19" s="13" t="s">
        <v>545</v>
      </c>
      <c r="CW19" s="13">
        <v>31</v>
      </c>
      <c r="CX19" s="13">
        <v>258</v>
      </c>
      <c r="CY19" s="13">
        <v>23</v>
      </c>
      <c r="CZ19" s="13">
        <v>11</v>
      </c>
      <c r="DA19" s="13">
        <v>29</v>
      </c>
      <c r="DB19" s="13" t="s">
        <v>545</v>
      </c>
      <c r="DC19" s="32" t="s">
        <v>585</v>
      </c>
    </row>
    <row r="20" spans="1:107" ht="19">
      <c r="A20" s="9" t="s">
        <v>142</v>
      </c>
      <c r="B20" s="9" t="s">
        <v>143</v>
      </c>
      <c r="C20" s="13" t="s">
        <v>586</v>
      </c>
      <c r="D20" s="13" t="s">
        <v>545</v>
      </c>
      <c r="E20" s="13">
        <v>418</v>
      </c>
      <c r="F20" s="13" t="s">
        <v>545</v>
      </c>
      <c r="G20" s="13" t="s">
        <v>545</v>
      </c>
      <c r="H20" s="13" t="s">
        <v>545</v>
      </c>
      <c r="I20" s="13" t="s">
        <v>545</v>
      </c>
      <c r="J20" s="13">
        <v>3</v>
      </c>
      <c r="K20" s="13" t="s">
        <v>545</v>
      </c>
      <c r="L20" s="13" t="s">
        <v>545</v>
      </c>
      <c r="M20" s="13" t="s">
        <v>545</v>
      </c>
      <c r="N20" s="13" t="s">
        <v>545</v>
      </c>
      <c r="O20" s="13" t="s">
        <v>545</v>
      </c>
      <c r="P20" s="13" t="s">
        <v>545</v>
      </c>
      <c r="Q20" s="13" t="s">
        <v>587</v>
      </c>
      <c r="R20" s="13" t="s">
        <v>545</v>
      </c>
      <c r="S20" s="13" t="s">
        <v>545</v>
      </c>
      <c r="T20" s="13" t="s">
        <v>545</v>
      </c>
      <c r="U20" s="13" t="s">
        <v>545</v>
      </c>
      <c r="V20" s="13" t="s">
        <v>545</v>
      </c>
      <c r="W20" s="13" t="s">
        <v>545</v>
      </c>
      <c r="X20" s="13" t="s">
        <v>545</v>
      </c>
      <c r="Y20" s="13" t="s">
        <v>545</v>
      </c>
      <c r="Z20" s="13" t="s">
        <v>545</v>
      </c>
      <c r="AA20" s="13" t="s">
        <v>545</v>
      </c>
      <c r="AB20" s="13" t="s">
        <v>545</v>
      </c>
      <c r="AC20" s="13" t="s">
        <v>545</v>
      </c>
      <c r="AD20" s="13" t="s">
        <v>545</v>
      </c>
      <c r="AE20" s="13" t="s">
        <v>545</v>
      </c>
      <c r="AF20" s="13" t="s">
        <v>545</v>
      </c>
      <c r="AG20" s="13" t="s">
        <v>545</v>
      </c>
      <c r="AH20" s="13" t="s">
        <v>545</v>
      </c>
      <c r="AI20" s="13" t="s">
        <v>545</v>
      </c>
      <c r="AJ20" s="13" t="s">
        <v>545</v>
      </c>
      <c r="AK20" s="13" t="s">
        <v>545</v>
      </c>
      <c r="AL20" s="13" t="s">
        <v>545</v>
      </c>
      <c r="AM20" s="13" t="s">
        <v>545</v>
      </c>
      <c r="AN20" s="13" t="s">
        <v>545</v>
      </c>
      <c r="AO20" s="13" t="s">
        <v>545</v>
      </c>
      <c r="AP20" s="13" t="s">
        <v>545</v>
      </c>
      <c r="AQ20" s="13" t="s">
        <v>545</v>
      </c>
      <c r="AR20" s="13" t="s">
        <v>545</v>
      </c>
      <c r="AS20" s="13" t="s">
        <v>545</v>
      </c>
      <c r="AT20" s="13" t="s">
        <v>545</v>
      </c>
      <c r="AU20" s="13" t="s">
        <v>545</v>
      </c>
      <c r="AV20" s="13" t="s">
        <v>545</v>
      </c>
      <c r="AW20" s="13" t="s">
        <v>545</v>
      </c>
      <c r="AX20" s="13" t="s">
        <v>545</v>
      </c>
      <c r="AY20" s="13" t="s">
        <v>545</v>
      </c>
      <c r="AZ20" s="13" t="s">
        <v>545</v>
      </c>
      <c r="BA20" s="13" t="s">
        <v>545</v>
      </c>
      <c r="BB20" s="13" t="s">
        <v>545</v>
      </c>
      <c r="BC20" s="13" t="s">
        <v>545</v>
      </c>
      <c r="BD20" s="13" t="s">
        <v>545</v>
      </c>
      <c r="BE20" s="13" t="s">
        <v>545</v>
      </c>
      <c r="BF20" s="13" t="s">
        <v>545</v>
      </c>
      <c r="BG20" s="13" t="s">
        <v>545</v>
      </c>
      <c r="BH20" s="13" t="s">
        <v>545</v>
      </c>
      <c r="BI20" s="13" t="s">
        <v>545</v>
      </c>
      <c r="BJ20" s="13" t="s">
        <v>545</v>
      </c>
      <c r="BK20" s="13" t="s">
        <v>545</v>
      </c>
      <c r="BL20" s="13" t="s">
        <v>545</v>
      </c>
      <c r="BM20" s="13" t="s">
        <v>545</v>
      </c>
      <c r="BN20" s="13" t="s">
        <v>545</v>
      </c>
      <c r="BO20" s="13" t="s">
        <v>545</v>
      </c>
      <c r="BP20" s="13" t="s">
        <v>545</v>
      </c>
      <c r="BQ20" s="13" t="s">
        <v>545</v>
      </c>
      <c r="BR20" s="13" t="s">
        <v>545</v>
      </c>
      <c r="BS20" s="13">
        <v>34</v>
      </c>
      <c r="BT20" s="13" t="s">
        <v>545</v>
      </c>
      <c r="BU20" s="13" t="s">
        <v>545</v>
      </c>
      <c r="BV20" s="13" t="s">
        <v>545</v>
      </c>
      <c r="BW20" s="13" t="s">
        <v>545</v>
      </c>
      <c r="BX20" s="13" t="s">
        <v>545</v>
      </c>
      <c r="BY20" s="13" t="s">
        <v>545</v>
      </c>
      <c r="BZ20" s="13">
        <v>43</v>
      </c>
      <c r="CA20" s="13" t="s">
        <v>545</v>
      </c>
      <c r="CB20" s="13" t="s">
        <v>545</v>
      </c>
      <c r="CC20" s="13" t="s">
        <v>545</v>
      </c>
      <c r="CD20" s="13" t="s">
        <v>545</v>
      </c>
      <c r="CE20" s="13" t="s">
        <v>545</v>
      </c>
      <c r="CF20" s="13" t="s">
        <v>545</v>
      </c>
      <c r="CG20" s="13" t="s">
        <v>545</v>
      </c>
      <c r="CH20" s="13" t="s">
        <v>545</v>
      </c>
      <c r="CI20" s="13" t="s">
        <v>545</v>
      </c>
      <c r="CJ20" s="13">
        <v>6</v>
      </c>
      <c r="CK20" s="13" t="s">
        <v>545</v>
      </c>
      <c r="CL20" s="13" t="s">
        <v>545</v>
      </c>
      <c r="CM20" s="13" t="s">
        <v>545</v>
      </c>
      <c r="CN20" s="13" t="s">
        <v>545</v>
      </c>
      <c r="CO20" s="13" t="s">
        <v>545</v>
      </c>
      <c r="CP20" s="13" t="s">
        <v>545</v>
      </c>
      <c r="CQ20" s="13" t="s">
        <v>545</v>
      </c>
      <c r="CR20" s="13" t="s">
        <v>545</v>
      </c>
      <c r="CS20" s="13" t="s">
        <v>545</v>
      </c>
      <c r="CT20" s="13" t="s">
        <v>545</v>
      </c>
      <c r="CU20" s="13">
        <v>9</v>
      </c>
      <c r="CV20" s="13">
        <v>4</v>
      </c>
      <c r="CW20" s="13">
        <v>6</v>
      </c>
      <c r="CX20" s="13">
        <v>41</v>
      </c>
      <c r="CY20" s="13">
        <v>12</v>
      </c>
      <c r="CZ20" s="13" t="s">
        <v>545</v>
      </c>
      <c r="DA20" s="13">
        <v>2</v>
      </c>
      <c r="DB20" s="13" t="s">
        <v>545</v>
      </c>
      <c r="DC20" s="32" t="s">
        <v>588</v>
      </c>
    </row>
    <row r="21" spans="1:107" ht="19">
      <c r="A21" s="9" t="s">
        <v>144</v>
      </c>
      <c r="B21" s="9" t="s">
        <v>145</v>
      </c>
      <c r="C21" s="13" t="s">
        <v>545</v>
      </c>
      <c r="D21" s="13" t="s">
        <v>545</v>
      </c>
      <c r="E21" s="13" t="s">
        <v>545</v>
      </c>
      <c r="F21" s="13" t="s">
        <v>545</v>
      </c>
      <c r="G21" s="13" t="s">
        <v>545</v>
      </c>
      <c r="H21" s="13" t="s">
        <v>545</v>
      </c>
      <c r="I21" s="13" t="s">
        <v>545</v>
      </c>
      <c r="J21" s="13" t="s">
        <v>545</v>
      </c>
      <c r="K21" s="13" t="s">
        <v>545</v>
      </c>
      <c r="L21" s="13" t="s">
        <v>545</v>
      </c>
      <c r="M21" s="13" t="s">
        <v>545</v>
      </c>
      <c r="N21" s="13" t="s">
        <v>545</v>
      </c>
      <c r="O21" s="13" t="s">
        <v>545</v>
      </c>
      <c r="P21" s="13" t="s">
        <v>545</v>
      </c>
      <c r="Q21" s="13" t="s">
        <v>545</v>
      </c>
      <c r="R21" s="13" t="s">
        <v>589</v>
      </c>
      <c r="S21" s="13">
        <v>1</v>
      </c>
      <c r="T21" s="13" t="s">
        <v>545</v>
      </c>
      <c r="U21" s="13" t="s">
        <v>545</v>
      </c>
      <c r="V21" s="13" t="s">
        <v>545</v>
      </c>
      <c r="W21" s="13" t="s">
        <v>545</v>
      </c>
      <c r="X21" s="13" t="s">
        <v>545</v>
      </c>
      <c r="Y21" s="13" t="s">
        <v>545</v>
      </c>
      <c r="Z21" s="13" t="s">
        <v>545</v>
      </c>
      <c r="AA21" s="13" t="s">
        <v>545</v>
      </c>
      <c r="AB21" s="13" t="s">
        <v>545</v>
      </c>
      <c r="AC21" s="13" t="s">
        <v>545</v>
      </c>
      <c r="AD21" s="13" t="s">
        <v>545</v>
      </c>
      <c r="AE21" s="13" t="s">
        <v>545</v>
      </c>
      <c r="AF21" s="13" t="s">
        <v>545</v>
      </c>
      <c r="AG21" s="13" t="s">
        <v>545</v>
      </c>
      <c r="AH21" s="13" t="s">
        <v>545</v>
      </c>
      <c r="AI21" s="13" t="s">
        <v>545</v>
      </c>
      <c r="AJ21" s="13" t="s">
        <v>545</v>
      </c>
      <c r="AK21" s="13" t="s">
        <v>545</v>
      </c>
      <c r="AL21" s="13" t="s">
        <v>545</v>
      </c>
      <c r="AM21" s="13" t="s">
        <v>545</v>
      </c>
      <c r="AN21" s="13" t="s">
        <v>545</v>
      </c>
      <c r="AO21" s="13" t="s">
        <v>545</v>
      </c>
      <c r="AP21" s="13" t="s">
        <v>545</v>
      </c>
      <c r="AQ21" s="13" t="s">
        <v>545</v>
      </c>
      <c r="AR21" s="13" t="s">
        <v>545</v>
      </c>
      <c r="AS21" s="13" t="s">
        <v>545</v>
      </c>
      <c r="AT21" s="13" t="s">
        <v>545</v>
      </c>
      <c r="AU21" s="13" t="s">
        <v>545</v>
      </c>
      <c r="AV21" s="13" t="s">
        <v>545</v>
      </c>
      <c r="AW21" s="13" t="s">
        <v>545</v>
      </c>
      <c r="AX21" s="13" t="s">
        <v>545</v>
      </c>
      <c r="AY21" s="13" t="s">
        <v>545</v>
      </c>
      <c r="AZ21" s="13" t="s">
        <v>545</v>
      </c>
      <c r="BA21" s="13" t="s">
        <v>545</v>
      </c>
      <c r="BB21" s="13" t="s">
        <v>545</v>
      </c>
      <c r="BC21" s="13" t="s">
        <v>545</v>
      </c>
      <c r="BD21" s="13" t="s">
        <v>545</v>
      </c>
      <c r="BE21" s="13" t="s">
        <v>545</v>
      </c>
      <c r="BF21" s="13" t="s">
        <v>545</v>
      </c>
      <c r="BG21" s="13" t="s">
        <v>545</v>
      </c>
      <c r="BH21" s="13" t="s">
        <v>545</v>
      </c>
      <c r="BI21" s="13">
        <v>7</v>
      </c>
      <c r="BJ21" s="13" t="s">
        <v>545</v>
      </c>
      <c r="BK21" s="13" t="s">
        <v>545</v>
      </c>
      <c r="BL21" s="13">
        <v>12</v>
      </c>
      <c r="BM21" s="13" t="s">
        <v>545</v>
      </c>
      <c r="BN21" s="13">
        <v>6</v>
      </c>
      <c r="BO21" s="13">
        <v>1</v>
      </c>
      <c r="BP21" s="13" t="s">
        <v>590</v>
      </c>
      <c r="BQ21" s="13" t="s">
        <v>591</v>
      </c>
      <c r="BR21" s="13" t="s">
        <v>545</v>
      </c>
      <c r="BS21" s="13" t="s">
        <v>545</v>
      </c>
      <c r="BT21" s="13" t="s">
        <v>545</v>
      </c>
      <c r="BU21" s="13" t="s">
        <v>545</v>
      </c>
      <c r="BV21" s="13" t="s">
        <v>545</v>
      </c>
      <c r="BW21" s="13">
        <v>60</v>
      </c>
      <c r="BX21" s="13">
        <v>3</v>
      </c>
      <c r="BY21" s="13">
        <v>22</v>
      </c>
      <c r="BZ21" s="13">
        <v>44</v>
      </c>
      <c r="CA21" s="13" t="s">
        <v>545</v>
      </c>
      <c r="CB21" s="13" t="s">
        <v>545</v>
      </c>
      <c r="CC21" s="13" t="s">
        <v>545</v>
      </c>
      <c r="CD21" s="13">
        <v>1</v>
      </c>
      <c r="CE21" s="13" t="s">
        <v>545</v>
      </c>
      <c r="CF21" s="13" t="s">
        <v>545</v>
      </c>
      <c r="CG21" s="13" t="s">
        <v>545</v>
      </c>
      <c r="CH21" s="13" t="s">
        <v>545</v>
      </c>
      <c r="CI21" s="13" t="s">
        <v>545</v>
      </c>
      <c r="CJ21" s="13" t="s">
        <v>545</v>
      </c>
      <c r="CK21" s="13" t="s">
        <v>545</v>
      </c>
      <c r="CL21" s="13" t="s">
        <v>545</v>
      </c>
      <c r="CM21" s="13" t="s">
        <v>545</v>
      </c>
      <c r="CN21" s="13" t="s">
        <v>545</v>
      </c>
      <c r="CO21" s="13" t="s">
        <v>545</v>
      </c>
      <c r="CP21" s="13" t="s">
        <v>545</v>
      </c>
      <c r="CQ21" s="13" t="s">
        <v>545</v>
      </c>
      <c r="CR21" s="13" t="s">
        <v>545</v>
      </c>
      <c r="CS21" s="13" t="s">
        <v>545</v>
      </c>
      <c r="CT21" s="13">
        <v>11</v>
      </c>
      <c r="CU21" s="13">
        <v>15</v>
      </c>
      <c r="CV21" s="13">
        <v>60</v>
      </c>
      <c r="CW21" s="13">
        <v>38</v>
      </c>
      <c r="CX21" s="13">
        <v>398</v>
      </c>
      <c r="CY21" s="13">
        <v>397</v>
      </c>
      <c r="CZ21" s="13" t="s">
        <v>545</v>
      </c>
      <c r="DA21" s="13">
        <v>3</v>
      </c>
      <c r="DB21" s="13" t="s">
        <v>545</v>
      </c>
      <c r="DC21" s="32" t="s">
        <v>592</v>
      </c>
    </row>
    <row r="22" spans="1:107" ht="19">
      <c r="A22" s="9" t="s">
        <v>146</v>
      </c>
      <c r="B22" s="9" t="s">
        <v>147</v>
      </c>
      <c r="C22" s="13" t="s">
        <v>545</v>
      </c>
      <c r="D22" s="13" t="s">
        <v>545</v>
      </c>
      <c r="E22" s="13" t="s">
        <v>545</v>
      </c>
      <c r="F22" s="13" t="s">
        <v>545</v>
      </c>
      <c r="G22" s="13" t="s">
        <v>545</v>
      </c>
      <c r="H22" s="13" t="s">
        <v>545</v>
      </c>
      <c r="I22" s="13" t="s">
        <v>545</v>
      </c>
      <c r="J22" s="13" t="s">
        <v>545</v>
      </c>
      <c r="K22" s="13" t="s">
        <v>545</v>
      </c>
      <c r="L22" s="13" t="s">
        <v>545</v>
      </c>
      <c r="M22" s="13" t="s">
        <v>545</v>
      </c>
      <c r="N22" s="13" t="s">
        <v>545</v>
      </c>
      <c r="O22" s="13" t="s">
        <v>545</v>
      </c>
      <c r="P22" s="13" t="s">
        <v>545</v>
      </c>
      <c r="Q22" s="13" t="s">
        <v>545</v>
      </c>
      <c r="R22" s="13">
        <v>14</v>
      </c>
      <c r="S22" s="13">
        <v>290</v>
      </c>
      <c r="T22" s="13" t="s">
        <v>545</v>
      </c>
      <c r="U22" s="13" t="s">
        <v>545</v>
      </c>
      <c r="V22" s="13" t="s">
        <v>545</v>
      </c>
      <c r="W22" s="13" t="s">
        <v>545</v>
      </c>
      <c r="X22" s="13" t="s">
        <v>545</v>
      </c>
      <c r="Y22" s="13" t="s">
        <v>545</v>
      </c>
      <c r="Z22" s="13" t="s">
        <v>545</v>
      </c>
      <c r="AA22" s="13" t="s">
        <v>545</v>
      </c>
      <c r="AB22" s="13" t="s">
        <v>545</v>
      </c>
      <c r="AC22" s="13" t="s">
        <v>545</v>
      </c>
      <c r="AD22" s="13" t="s">
        <v>545</v>
      </c>
      <c r="AE22" s="13" t="s">
        <v>545</v>
      </c>
      <c r="AF22" s="13" t="s">
        <v>545</v>
      </c>
      <c r="AG22" s="13" t="s">
        <v>545</v>
      </c>
      <c r="AH22" s="13" t="s">
        <v>545</v>
      </c>
      <c r="AI22" s="13" t="s">
        <v>545</v>
      </c>
      <c r="AJ22" s="13" t="s">
        <v>545</v>
      </c>
      <c r="AK22" s="13" t="s">
        <v>545</v>
      </c>
      <c r="AL22" s="13" t="s">
        <v>545</v>
      </c>
      <c r="AM22" s="13" t="s">
        <v>545</v>
      </c>
      <c r="AN22" s="13" t="s">
        <v>545</v>
      </c>
      <c r="AO22" s="13" t="s">
        <v>545</v>
      </c>
      <c r="AP22" s="13" t="s">
        <v>545</v>
      </c>
      <c r="AQ22" s="13" t="s">
        <v>545</v>
      </c>
      <c r="AR22" s="13" t="s">
        <v>545</v>
      </c>
      <c r="AS22" s="13" t="s">
        <v>545</v>
      </c>
      <c r="AT22" s="13" t="s">
        <v>545</v>
      </c>
      <c r="AU22" s="13" t="s">
        <v>545</v>
      </c>
      <c r="AV22" s="13" t="s">
        <v>545</v>
      </c>
      <c r="AW22" s="13" t="s">
        <v>545</v>
      </c>
      <c r="AX22" s="13" t="s">
        <v>545</v>
      </c>
      <c r="AY22" s="13" t="s">
        <v>545</v>
      </c>
      <c r="AZ22" s="13" t="s">
        <v>545</v>
      </c>
      <c r="BA22" s="13" t="s">
        <v>545</v>
      </c>
      <c r="BB22" s="13" t="s">
        <v>545</v>
      </c>
      <c r="BC22" s="13" t="s">
        <v>545</v>
      </c>
      <c r="BD22" s="13" t="s">
        <v>545</v>
      </c>
      <c r="BE22" s="13" t="s">
        <v>545</v>
      </c>
      <c r="BF22" s="13" t="s">
        <v>545</v>
      </c>
      <c r="BG22" s="13" t="s">
        <v>545</v>
      </c>
      <c r="BH22" s="13" t="s">
        <v>545</v>
      </c>
      <c r="BI22" s="13">
        <v>6</v>
      </c>
      <c r="BJ22" s="13" t="s">
        <v>545</v>
      </c>
      <c r="BK22" s="13" t="s">
        <v>545</v>
      </c>
      <c r="BL22" s="13">
        <v>3</v>
      </c>
      <c r="BM22" s="13" t="s">
        <v>545</v>
      </c>
      <c r="BN22" s="13">
        <v>7</v>
      </c>
      <c r="BO22" s="13" t="s">
        <v>545</v>
      </c>
      <c r="BP22" s="13">
        <v>587</v>
      </c>
      <c r="BQ22" s="13" t="s">
        <v>593</v>
      </c>
      <c r="BR22" s="13" t="s">
        <v>545</v>
      </c>
      <c r="BS22" s="13">
        <v>396</v>
      </c>
      <c r="BT22" s="13" t="s">
        <v>545</v>
      </c>
      <c r="BU22" s="13" t="s">
        <v>545</v>
      </c>
      <c r="BV22" s="13" t="s">
        <v>545</v>
      </c>
      <c r="BW22" s="13">
        <v>63</v>
      </c>
      <c r="BX22" s="13">
        <v>2</v>
      </c>
      <c r="BY22" s="13">
        <v>24</v>
      </c>
      <c r="BZ22" s="13">
        <v>37</v>
      </c>
      <c r="CA22" s="13" t="s">
        <v>545</v>
      </c>
      <c r="CB22" s="13" t="s">
        <v>545</v>
      </c>
      <c r="CC22" s="13" t="s">
        <v>545</v>
      </c>
      <c r="CD22" s="13" t="s">
        <v>545</v>
      </c>
      <c r="CE22" s="13" t="s">
        <v>545</v>
      </c>
      <c r="CF22" s="13" t="s">
        <v>545</v>
      </c>
      <c r="CG22" s="13" t="s">
        <v>545</v>
      </c>
      <c r="CH22" s="13" t="s">
        <v>545</v>
      </c>
      <c r="CI22" s="13" t="s">
        <v>545</v>
      </c>
      <c r="CJ22" s="13" t="s">
        <v>545</v>
      </c>
      <c r="CK22" s="13" t="s">
        <v>545</v>
      </c>
      <c r="CL22" s="13" t="s">
        <v>545</v>
      </c>
      <c r="CM22" s="13" t="s">
        <v>545</v>
      </c>
      <c r="CN22" s="13" t="s">
        <v>545</v>
      </c>
      <c r="CO22" s="13" t="s">
        <v>545</v>
      </c>
      <c r="CP22" s="13" t="s">
        <v>545</v>
      </c>
      <c r="CQ22" s="13">
        <v>9</v>
      </c>
      <c r="CR22" s="13">
        <v>158</v>
      </c>
      <c r="CS22" s="13" t="s">
        <v>545</v>
      </c>
      <c r="CT22" s="13">
        <v>110</v>
      </c>
      <c r="CU22" s="13" t="s">
        <v>545</v>
      </c>
      <c r="CV22" s="13">
        <v>20</v>
      </c>
      <c r="CW22" s="13">
        <v>12</v>
      </c>
      <c r="CX22" s="13">
        <v>200</v>
      </c>
      <c r="CY22" s="13">
        <v>72</v>
      </c>
      <c r="CZ22" s="13" t="s">
        <v>545</v>
      </c>
      <c r="DA22" s="13">
        <v>2</v>
      </c>
      <c r="DB22" s="13" t="s">
        <v>545</v>
      </c>
      <c r="DC22" s="32" t="s">
        <v>594</v>
      </c>
    </row>
    <row r="23" spans="1:107" ht="19">
      <c r="A23" s="9" t="s">
        <v>148</v>
      </c>
      <c r="B23" s="9" t="s">
        <v>149</v>
      </c>
      <c r="C23" s="13" t="s">
        <v>545</v>
      </c>
      <c r="D23" s="13" t="s">
        <v>545</v>
      </c>
      <c r="E23" s="13">
        <v>3</v>
      </c>
      <c r="F23" s="13" t="s">
        <v>545</v>
      </c>
      <c r="G23" s="13" t="s">
        <v>545</v>
      </c>
      <c r="H23" s="13" t="s">
        <v>545</v>
      </c>
      <c r="I23" s="13" t="s">
        <v>545</v>
      </c>
      <c r="J23" s="13" t="s">
        <v>545</v>
      </c>
      <c r="K23" s="13" t="s">
        <v>545</v>
      </c>
      <c r="L23" s="13" t="s">
        <v>545</v>
      </c>
      <c r="M23" s="13" t="s">
        <v>545</v>
      </c>
      <c r="N23" s="13" t="s">
        <v>545</v>
      </c>
      <c r="O23" s="13" t="s">
        <v>545</v>
      </c>
      <c r="P23" s="13" t="s">
        <v>545</v>
      </c>
      <c r="Q23" s="13" t="s">
        <v>545</v>
      </c>
      <c r="R23" s="13" t="s">
        <v>545</v>
      </c>
      <c r="S23" s="13" t="s">
        <v>545</v>
      </c>
      <c r="T23" s="13" t="s">
        <v>595</v>
      </c>
      <c r="U23" s="13">
        <v>683</v>
      </c>
      <c r="V23" s="13">
        <v>65</v>
      </c>
      <c r="W23" s="13" t="s">
        <v>545</v>
      </c>
      <c r="X23" s="13">
        <v>234</v>
      </c>
      <c r="Y23" s="13">
        <v>5</v>
      </c>
      <c r="Z23" s="13" t="s">
        <v>545</v>
      </c>
      <c r="AA23" s="13" t="s">
        <v>545</v>
      </c>
      <c r="AB23" s="13">
        <v>2</v>
      </c>
      <c r="AC23" s="13" t="s">
        <v>545</v>
      </c>
      <c r="AD23" s="13" t="s">
        <v>545</v>
      </c>
      <c r="AE23" s="13" t="s">
        <v>545</v>
      </c>
      <c r="AF23" s="13" t="s">
        <v>545</v>
      </c>
      <c r="AG23" s="13" t="s">
        <v>545</v>
      </c>
      <c r="AH23" s="13">
        <v>29</v>
      </c>
      <c r="AI23" s="13" t="s">
        <v>545</v>
      </c>
      <c r="AJ23" s="13">
        <v>44</v>
      </c>
      <c r="AK23" s="13" t="s">
        <v>545</v>
      </c>
      <c r="AL23" s="13" t="s">
        <v>545</v>
      </c>
      <c r="AM23" s="13">
        <v>8</v>
      </c>
      <c r="AN23" s="13" t="s">
        <v>545</v>
      </c>
      <c r="AO23" s="13" t="s">
        <v>545</v>
      </c>
      <c r="AP23" s="13">
        <v>2</v>
      </c>
      <c r="AQ23" s="13">
        <v>694</v>
      </c>
      <c r="AR23" s="13">
        <v>7</v>
      </c>
      <c r="AS23" s="13" t="s">
        <v>545</v>
      </c>
      <c r="AT23" s="13" t="s">
        <v>545</v>
      </c>
      <c r="AU23" s="13">
        <v>299</v>
      </c>
      <c r="AV23" s="13">
        <v>139</v>
      </c>
      <c r="AW23" s="13" t="s">
        <v>545</v>
      </c>
      <c r="AX23" s="13" t="s">
        <v>545</v>
      </c>
      <c r="AY23" s="13">
        <v>8</v>
      </c>
      <c r="AZ23" s="13" t="s">
        <v>545</v>
      </c>
      <c r="BA23" s="13" t="s">
        <v>545</v>
      </c>
      <c r="BB23" s="13" t="s">
        <v>545</v>
      </c>
      <c r="BC23" s="13" t="s">
        <v>545</v>
      </c>
      <c r="BD23" s="13" t="s">
        <v>545</v>
      </c>
      <c r="BE23" s="13" t="s">
        <v>545</v>
      </c>
      <c r="BF23" s="13" t="s">
        <v>596</v>
      </c>
      <c r="BG23" s="13">
        <v>5</v>
      </c>
      <c r="BH23" s="13" t="s">
        <v>597</v>
      </c>
      <c r="BI23" s="13" t="s">
        <v>545</v>
      </c>
      <c r="BJ23" s="13" t="s">
        <v>545</v>
      </c>
      <c r="BK23" s="13" t="s">
        <v>545</v>
      </c>
      <c r="BL23" s="13" t="s">
        <v>545</v>
      </c>
      <c r="BM23" s="13" t="s">
        <v>545</v>
      </c>
      <c r="BN23" s="13" t="s">
        <v>545</v>
      </c>
      <c r="BO23" s="13" t="s">
        <v>545</v>
      </c>
      <c r="BP23" s="13" t="s">
        <v>545</v>
      </c>
      <c r="BQ23" s="13">
        <v>16</v>
      </c>
      <c r="BR23" s="13" t="s">
        <v>545</v>
      </c>
      <c r="BS23" s="13" t="s">
        <v>545</v>
      </c>
      <c r="BT23" s="13" t="s">
        <v>545</v>
      </c>
      <c r="BU23" s="13" t="s">
        <v>545</v>
      </c>
      <c r="BV23" s="13" t="s">
        <v>545</v>
      </c>
      <c r="BW23" s="13">
        <v>42</v>
      </c>
      <c r="BX23" s="13">
        <v>5</v>
      </c>
      <c r="BY23" s="13" t="s">
        <v>545</v>
      </c>
      <c r="BZ23" s="13">
        <v>36</v>
      </c>
      <c r="CA23" s="13">
        <v>18</v>
      </c>
      <c r="CB23" s="13" t="s">
        <v>545</v>
      </c>
      <c r="CC23" s="13" t="s">
        <v>545</v>
      </c>
      <c r="CD23" s="13" t="s">
        <v>545</v>
      </c>
      <c r="CE23" s="13" t="s">
        <v>545</v>
      </c>
      <c r="CF23" s="13" t="s">
        <v>545</v>
      </c>
      <c r="CG23" s="13" t="s">
        <v>545</v>
      </c>
      <c r="CH23" s="13" t="s">
        <v>545</v>
      </c>
      <c r="CI23" s="13">
        <v>22</v>
      </c>
      <c r="CJ23" s="13" t="s">
        <v>545</v>
      </c>
      <c r="CK23" s="13" t="s">
        <v>545</v>
      </c>
      <c r="CL23" s="13" t="s">
        <v>545</v>
      </c>
      <c r="CM23" s="13" t="s">
        <v>545</v>
      </c>
      <c r="CN23" s="13" t="s">
        <v>545</v>
      </c>
      <c r="CO23" s="13" t="s">
        <v>545</v>
      </c>
      <c r="CP23" s="13" t="s">
        <v>545</v>
      </c>
      <c r="CQ23" s="13">
        <v>44</v>
      </c>
      <c r="CR23" s="13">
        <v>103</v>
      </c>
      <c r="CS23" s="13">
        <v>240</v>
      </c>
      <c r="CT23" s="13" t="s">
        <v>545</v>
      </c>
      <c r="CU23" s="13" t="s">
        <v>545</v>
      </c>
      <c r="CV23" s="13">
        <v>1</v>
      </c>
      <c r="CW23" s="13" t="s">
        <v>545</v>
      </c>
      <c r="CX23" s="13">
        <v>16</v>
      </c>
      <c r="CY23" s="13" t="s">
        <v>545</v>
      </c>
      <c r="CZ23" s="13">
        <v>3</v>
      </c>
      <c r="DA23" s="13">
        <v>216</v>
      </c>
      <c r="DB23" s="13" t="s">
        <v>545</v>
      </c>
      <c r="DC23" s="32" t="s">
        <v>598</v>
      </c>
    </row>
    <row r="24" spans="1:107" ht="19">
      <c r="A24" s="14" t="s">
        <v>150</v>
      </c>
      <c r="B24" s="14" t="s">
        <v>151</v>
      </c>
      <c r="C24" s="15" t="s">
        <v>545</v>
      </c>
      <c r="D24" s="15" t="s">
        <v>545</v>
      </c>
      <c r="E24" s="15" t="s">
        <v>545</v>
      </c>
      <c r="F24" s="15" t="s">
        <v>545</v>
      </c>
      <c r="G24" s="15" t="s">
        <v>545</v>
      </c>
      <c r="H24" s="15" t="s">
        <v>545</v>
      </c>
      <c r="I24" s="15" t="s">
        <v>545</v>
      </c>
      <c r="J24" s="15" t="s">
        <v>545</v>
      </c>
      <c r="K24" s="15" t="s">
        <v>545</v>
      </c>
      <c r="L24" s="15" t="s">
        <v>545</v>
      </c>
      <c r="M24" s="15" t="s">
        <v>545</v>
      </c>
      <c r="N24" s="15" t="s">
        <v>545</v>
      </c>
      <c r="O24" s="15">
        <v>1</v>
      </c>
      <c r="P24" s="15" t="s">
        <v>545</v>
      </c>
      <c r="Q24" s="15" t="s">
        <v>545</v>
      </c>
      <c r="R24" s="15" t="s">
        <v>545</v>
      </c>
      <c r="S24" s="15" t="s">
        <v>545</v>
      </c>
      <c r="T24" s="15">
        <v>8</v>
      </c>
      <c r="U24" s="15">
        <v>167</v>
      </c>
      <c r="V24" s="15" t="s">
        <v>545</v>
      </c>
      <c r="W24" s="15" t="s">
        <v>545</v>
      </c>
      <c r="X24" s="15" t="s">
        <v>545</v>
      </c>
      <c r="Y24" s="15" t="s">
        <v>545</v>
      </c>
      <c r="Z24" s="15" t="s">
        <v>545</v>
      </c>
      <c r="AA24" s="15" t="s">
        <v>545</v>
      </c>
      <c r="AB24" s="15" t="s">
        <v>545</v>
      </c>
      <c r="AC24" s="15" t="s">
        <v>545</v>
      </c>
      <c r="AD24" s="15" t="s">
        <v>545</v>
      </c>
      <c r="AE24" s="15" t="s">
        <v>545</v>
      </c>
      <c r="AF24" s="15" t="s">
        <v>545</v>
      </c>
      <c r="AG24" s="15" t="s">
        <v>545</v>
      </c>
      <c r="AH24" s="15" t="s">
        <v>545</v>
      </c>
      <c r="AI24" s="15" t="s">
        <v>545</v>
      </c>
      <c r="AJ24" s="15" t="s">
        <v>545</v>
      </c>
      <c r="AK24" s="15" t="s">
        <v>545</v>
      </c>
      <c r="AL24" s="15" t="s">
        <v>545</v>
      </c>
      <c r="AM24" s="15" t="s">
        <v>545</v>
      </c>
      <c r="AN24" s="15" t="s">
        <v>545</v>
      </c>
      <c r="AO24" s="15" t="s">
        <v>545</v>
      </c>
      <c r="AP24" s="15" t="s">
        <v>545</v>
      </c>
      <c r="AQ24" s="15" t="s">
        <v>545</v>
      </c>
      <c r="AR24" s="15" t="s">
        <v>545</v>
      </c>
      <c r="AS24" s="15" t="s">
        <v>545</v>
      </c>
      <c r="AT24" s="15" t="s">
        <v>545</v>
      </c>
      <c r="AU24" s="15" t="s">
        <v>545</v>
      </c>
      <c r="AV24" s="15" t="s">
        <v>545</v>
      </c>
      <c r="AW24" s="15" t="s">
        <v>545</v>
      </c>
      <c r="AX24" s="15" t="s">
        <v>545</v>
      </c>
      <c r="AY24" s="15" t="s">
        <v>545</v>
      </c>
      <c r="AZ24" s="15" t="s">
        <v>545</v>
      </c>
      <c r="BA24" s="15" t="s">
        <v>545</v>
      </c>
      <c r="BB24" s="15" t="s">
        <v>545</v>
      </c>
      <c r="BC24" s="15" t="s">
        <v>545</v>
      </c>
      <c r="BD24" s="15">
        <v>15</v>
      </c>
      <c r="BE24" s="15" t="s">
        <v>545</v>
      </c>
      <c r="BF24" s="15">
        <v>7</v>
      </c>
      <c r="BG24" s="15" t="s">
        <v>545</v>
      </c>
      <c r="BH24" s="15">
        <v>273</v>
      </c>
      <c r="BI24" s="15">
        <v>750</v>
      </c>
      <c r="BJ24" s="15" t="s">
        <v>545</v>
      </c>
      <c r="BK24" s="15" t="s">
        <v>545</v>
      </c>
      <c r="BL24" s="15" t="s">
        <v>545</v>
      </c>
      <c r="BM24" s="15">
        <v>1</v>
      </c>
      <c r="BN24" s="15" t="s">
        <v>545</v>
      </c>
      <c r="BO24" s="15">
        <v>1</v>
      </c>
      <c r="BP24" s="15" t="s">
        <v>545</v>
      </c>
      <c r="BQ24" s="15">
        <v>23</v>
      </c>
      <c r="BR24" s="15" t="s">
        <v>545</v>
      </c>
      <c r="BS24" s="15" t="s">
        <v>545</v>
      </c>
      <c r="BT24" s="15" t="s">
        <v>545</v>
      </c>
      <c r="BU24" s="15" t="s">
        <v>545</v>
      </c>
      <c r="BV24" s="15" t="s">
        <v>545</v>
      </c>
      <c r="BW24" s="15">
        <v>28</v>
      </c>
      <c r="BX24" s="15">
        <v>6</v>
      </c>
      <c r="BY24" s="15">
        <v>22</v>
      </c>
      <c r="BZ24" s="15">
        <v>37</v>
      </c>
      <c r="CA24" s="15">
        <v>2</v>
      </c>
      <c r="CB24" s="15" t="s">
        <v>545</v>
      </c>
      <c r="CC24" s="15" t="s">
        <v>545</v>
      </c>
      <c r="CD24" s="15" t="s">
        <v>545</v>
      </c>
      <c r="CE24" s="15" t="s">
        <v>545</v>
      </c>
      <c r="CF24" s="15" t="s">
        <v>545</v>
      </c>
      <c r="CG24" s="15" t="s">
        <v>545</v>
      </c>
      <c r="CH24" s="15" t="s">
        <v>545</v>
      </c>
      <c r="CI24" s="15" t="s">
        <v>545</v>
      </c>
      <c r="CJ24" s="15" t="s">
        <v>545</v>
      </c>
      <c r="CK24" s="15" t="s">
        <v>545</v>
      </c>
      <c r="CL24" s="15" t="s">
        <v>545</v>
      </c>
      <c r="CM24" s="15" t="s">
        <v>545</v>
      </c>
      <c r="CN24" s="15" t="s">
        <v>545</v>
      </c>
      <c r="CO24" s="15" t="s">
        <v>545</v>
      </c>
      <c r="CP24" s="15" t="s">
        <v>545</v>
      </c>
      <c r="CQ24" s="15">
        <v>558</v>
      </c>
      <c r="CR24" s="15">
        <v>62</v>
      </c>
      <c r="CS24" s="15">
        <v>397</v>
      </c>
      <c r="CT24" s="15">
        <v>112</v>
      </c>
      <c r="CU24" s="15">
        <v>3</v>
      </c>
      <c r="CV24" s="15" t="s">
        <v>545</v>
      </c>
      <c r="CW24" s="15">
        <v>4</v>
      </c>
      <c r="CX24" s="15">
        <v>49</v>
      </c>
      <c r="CY24" s="15">
        <v>10</v>
      </c>
      <c r="CZ24" s="15" t="s">
        <v>545</v>
      </c>
      <c r="DA24" s="15">
        <v>350</v>
      </c>
      <c r="DB24" s="15" t="s">
        <v>545</v>
      </c>
      <c r="DC24" s="34" t="s">
        <v>552</v>
      </c>
    </row>
    <row r="25" spans="1:107" ht="19">
      <c r="A25" s="9" t="s">
        <v>152</v>
      </c>
      <c r="B25" s="9" t="s">
        <v>153</v>
      </c>
      <c r="C25" s="13" t="s">
        <v>545</v>
      </c>
      <c r="D25" s="13" t="s">
        <v>545</v>
      </c>
      <c r="E25" s="13" t="s">
        <v>545</v>
      </c>
      <c r="F25" s="13" t="s">
        <v>545</v>
      </c>
      <c r="G25" s="13" t="s">
        <v>545</v>
      </c>
      <c r="H25" s="13" t="s">
        <v>545</v>
      </c>
      <c r="I25" s="13" t="s">
        <v>545</v>
      </c>
      <c r="J25" s="13" t="s">
        <v>545</v>
      </c>
      <c r="K25" s="13" t="s">
        <v>545</v>
      </c>
      <c r="L25" s="13" t="s">
        <v>545</v>
      </c>
      <c r="M25" s="13" t="s">
        <v>545</v>
      </c>
      <c r="N25" s="13" t="s">
        <v>545</v>
      </c>
      <c r="O25" s="13" t="s">
        <v>545</v>
      </c>
      <c r="P25" s="13" t="s">
        <v>545</v>
      </c>
      <c r="Q25" s="13" t="s">
        <v>545</v>
      </c>
      <c r="R25" s="13" t="s">
        <v>545</v>
      </c>
      <c r="S25" s="13" t="s">
        <v>545</v>
      </c>
      <c r="T25" s="13" t="s">
        <v>545</v>
      </c>
      <c r="U25" s="13" t="s">
        <v>545</v>
      </c>
      <c r="V25" s="13">
        <v>102</v>
      </c>
      <c r="W25" s="13" t="s">
        <v>545</v>
      </c>
      <c r="X25" s="13" t="s">
        <v>545</v>
      </c>
      <c r="Y25" s="13" t="s">
        <v>545</v>
      </c>
      <c r="Z25" s="13" t="s">
        <v>545</v>
      </c>
      <c r="AA25" s="13" t="s">
        <v>545</v>
      </c>
      <c r="AB25" s="13" t="s">
        <v>545</v>
      </c>
      <c r="AC25" s="13" t="s">
        <v>545</v>
      </c>
      <c r="AD25" s="13" t="s">
        <v>545</v>
      </c>
      <c r="AE25" s="13" t="s">
        <v>545</v>
      </c>
      <c r="AF25" s="13" t="s">
        <v>545</v>
      </c>
      <c r="AG25" s="13" t="s">
        <v>545</v>
      </c>
      <c r="AH25" s="13" t="s">
        <v>545</v>
      </c>
      <c r="AI25" s="13" t="s">
        <v>545</v>
      </c>
      <c r="AJ25" s="13" t="s">
        <v>545</v>
      </c>
      <c r="AK25" s="13" t="s">
        <v>545</v>
      </c>
      <c r="AL25" s="13" t="s">
        <v>545</v>
      </c>
      <c r="AM25" s="13" t="s">
        <v>545</v>
      </c>
      <c r="AN25" s="13" t="s">
        <v>545</v>
      </c>
      <c r="AO25" s="13" t="s">
        <v>545</v>
      </c>
      <c r="AP25" s="13" t="s">
        <v>545</v>
      </c>
      <c r="AQ25" s="13">
        <v>99</v>
      </c>
      <c r="AR25" s="13" t="s">
        <v>545</v>
      </c>
      <c r="AS25" s="13">
        <v>3</v>
      </c>
      <c r="AT25" s="13" t="s">
        <v>545</v>
      </c>
      <c r="AU25" s="13">
        <v>12</v>
      </c>
      <c r="AV25" s="13" t="s">
        <v>545</v>
      </c>
      <c r="AW25" s="13" t="s">
        <v>545</v>
      </c>
      <c r="AX25" s="13" t="s">
        <v>545</v>
      </c>
      <c r="AY25" s="13" t="s">
        <v>545</v>
      </c>
      <c r="AZ25" s="13" t="s">
        <v>545</v>
      </c>
      <c r="BA25" s="13" t="s">
        <v>545</v>
      </c>
      <c r="BB25" s="13" t="s">
        <v>545</v>
      </c>
      <c r="BC25" s="13" t="s">
        <v>545</v>
      </c>
      <c r="BD25" s="13" t="s">
        <v>545</v>
      </c>
      <c r="BE25" s="13" t="s">
        <v>545</v>
      </c>
      <c r="BF25" s="13">
        <v>13</v>
      </c>
      <c r="BG25" s="13">
        <v>14</v>
      </c>
      <c r="BH25" s="13">
        <v>101</v>
      </c>
      <c r="BI25" s="13">
        <v>91</v>
      </c>
      <c r="BJ25" s="13" t="s">
        <v>545</v>
      </c>
      <c r="BK25" s="13" t="s">
        <v>545</v>
      </c>
      <c r="BL25" s="13" t="s">
        <v>545</v>
      </c>
      <c r="BM25" s="13" t="s">
        <v>545</v>
      </c>
      <c r="BN25" s="13" t="s">
        <v>545</v>
      </c>
      <c r="BO25" s="13" t="s">
        <v>545</v>
      </c>
      <c r="BP25" s="13" t="s">
        <v>545</v>
      </c>
      <c r="BQ25" s="13" t="s">
        <v>545</v>
      </c>
      <c r="BR25" s="13" t="s">
        <v>545</v>
      </c>
      <c r="BS25" s="13" t="s">
        <v>545</v>
      </c>
      <c r="BT25" s="13" t="s">
        <v>545</v>
      </c>
      <c r="BU25" s="13" t="s">
        <v>545</v>
      </c>
      <c r="BV25" s="13" t="s">
        <v>545</v>
      </c>
      <c r="BW25" s="13">
        <v>14</v>
      </c>
      <c r="BX25" s="13">
        <v>3</v>
      </c>
      <c r="BY25" s="13">
        <v>19</v>
      </c>
      <c r="BZ25" s="13">
        <v>43</v>
      </c>
      <c r="CA25" s="13" t="s">
        <v>545</v>
      </c>
      <c r="CB25" s="13" t="s">
        <v>545</v>
      </c>
      <c r="CC25" s="13" t="s">
        <v>545</v>
      </c>
      <c r="CD25" s="13" t="s">
        <v>545</v>
      </c>
      <c r="CE25" s="13" t="s">
        <v>545</v>
      </c>
      <c r="CF25" s="13" t="s">
        <v>545</v>
      </c>
      <c r="CG25" s="13" t="s">
        <v>545</v>
      </c>
      <c r="CH25" s="13" t="s">
        <v>545</v>
      </c>
      <c r="CI25" s="13" t="s">
        <v>545</v>
      </c>
      <c r="CJ25" s="13" t="s">
        <v>545</v>
      </c>
      <c r="CK25" s="13" t="s">
        <v>545</v>
      </c>
      <c r="CL25" s="13" t="s">
        <v>545</v>
      </c>
      <c r="CM25" s="13" t="s">
        <v>545</v>
      </c>
      <c r="CN25" s="13" t="s">
        <v>545</v>
      </c>
      <c r="CO25" s="13" t="s">
        <v>545</v>
      </c>
      <c r="CP25" s="13" t="s">
        <v>545</v>
      </c>
      <c r="CQ25" s="13">
        <v>267</v>
      </c>
      <c r="CR25" s="13" t="s">
        <v>545</v>
      </c>
      <c r="CS25" s="13" t="s">
        <v>545</v>
      </c>
      <c r="CT25" s="13" t="s">
        <v>545</v>
      </c>
      <c r="CU25" s="13" t="s">
        <v>545</v>
      </c>
      <c r="CV25" s="13">
        <v>2</v>
      </c>
      <c r="CW25" s="13">
        <v>1</v>
      </c>
      <c r="CX25" s="13">
        <v>3</v>
      </c>
      <c r="CY25" s="13" t="s">
        <v>545</v>
      </c>
      <c r="CZ25" s="13">
        <v>3</v>
      </c>
      <c r="DA25" s="13">
        <v>37</v>
      </c>
      <c r="DB25" s="13" t="s">
        <v>545</v>
      </c>
      <c r="DC25" s="32">
        <v>827</v>
      </c>
    </row>
    <row r="26" spans="1:107" ht="19">
      <c r="A26" s="9" t="s">
        <v>154</v>
      </c>
      <c r="B26" s="9" t="s">
        <v>155</v>
      </c>
      <c r="C26" s="13" t="s">
        <v>545</v>
      </c>
      <c r="D26" s="13" t="s">
        <v>545</v>
      </c>
      <c r="E26" s="13" t="s">
        <v>545</v>
      </c>
      <c r="F26" s="13" t="s">
        <v>545</v>
      </c>
      <c r="G26" s="13">
        <v>20</v>
      </c>
      <c r="H26" s="13" t="s">
        <v>545</v>
      </c>
      <c r="I26" s="13" t="s">
        <v>545</v>
      </c>
      <c r="J26" s="13">
        <v>1</v>
      </c>
      <c r="K26" s="13" t="s">
        <v>545</v>
      </c>
      <c r="L26" s="13" t="s">
        <v>545</v>
      </c>
      <c r="M26" s="13">
        <v>1</v>
      </c>
      <c r="N26" s="13" t="s">
        <v>545</v>
      </c>
      <c r="O26" s="13" t="s">
        <v>545</v>
      </c>
      <c r="P26" s="13">
        <v>1</v>
      </c>
      <c r="Q26" s="13" t="s">
        <v>545</v>
      </c>
      <c r="R26" s="13" t="s">
        <v>545</v>
      </c>
      <c r="S26" s="13" t="s">
        <v>545</v>
      </c>
      <c r="T26" s="13">
        <v>2</v>
      </c>
      <c r="U26" s="13" t="s">
        <v>545</v>
      </c>
      <c r="V26" s="13" t="s">
        <v>545</v>
      </c>
      <c r="W26" s="13" t="s">
        <v>599</v>
      </c>
      <c r="X26" s="13">
        <v>563</v>
      </c>
      <c r="Y26" s="13" t="s">
        <v>545</v>
      </c>
      <c r="Z26" s="13" t="s">
        <v>545</v>
      </c>
      <c r="AA26" s="13" t="s">
        <v>545</v>
      </c>
      <c r="AB26" s="13" t="s">
        <v>545</v>
      </c>
      <c r="AC26" s="13" t="s">
        <v>545</v>
      </c>
      <c r="AD26" s="13" t="s">
        <v>545</v>
      </c>
      <c r="AE26" s="13" t="s">
        <v>545</v>
      </c>
      <c r="AF26" s="13" t="s">
        <v>545</v>
      </c>
      <c r="AG26" s="13" t="s">
        <v>545</v>
      </c>
      <c r="AH26" s="13">
        <v>2</v>
      </c>
      <c r="AI26" s="13">
        <v>108</v>
      </c>
      <c r="AJ26" s="13" t="s">
        <v>545</v>
      </c>
      <c r="AK26" s="13" t="s">
        <v>545</v>
      </c>
      <c r="AL26" s="13" t="s">
        <v>545</v>
      </c>
      <c r="AM26" s="13">
        <v>300</v>
      </c>
      <c r="AN26" s="13" t="s">
        <v>545</v>
      </c>
      <c r="AO26" s="13">
        <v>16</v>
      </c>
      <c r="AP26" s="13" t="s">
        <v>545</v>
      </c>
      <c r="AQ26" s="13">
        <v>223</v>
      </c>
      <c r="AR26" s="13">
        <v>152</v>
      </c>
      <c r="AS26" s="13" t="s">
        <v>545</v>
      </c>
      <c r="AT26" s="13" t="s">
        <v>545</v>
      </c>
      <c r="AU26" s="13" t="s">
        <v>600</v>
      </c>
      <c r="AV26" s="13">
        <v>379</v>
      </c>
      <c r="AW26" s="13">
        <v>3</v>
      </c>
      <c r="AX26" s="13" t="s">
        <v>545</v>
      </c>
      <c r="AY26" s="13">
        <v>34</v>
      </c>
      <c r="AZ26" s="13" t="s">
        <v>545</v>
      </c>
      <c r="BA26" s="13" t="s">
        <v>545</v>
      </c>
      <c r="BB26" s="13" t="s">
        <v>545</v>
      </c>
      <c r="BC26" s="13" t="s">
        <v>545</v>
      </c>
      <c r="BD26" s="13">
        <v>4</v>
      </c>
      <c r="BE26" s="13" t="s">
        <v>545</v>
      </c>
      <c r="BF26" s="13" t="s">
        <v>601</v>
      </c>
      <c r="BG26" s="13" t="s">
        <v>545</v>
      </c>
      <c r="BH26" s="13">
        <v>361</v>
      </c>
      <c r="BI26" s="13">
        <v>8</v>
      </c>
      <c r="BJ26" s="13" t="s">
        <v>545</v>
      </c>
      <c r="BK26" s="13" t="s">
        <v>545</v>
      </c>
      <c r="BL26" s="13" t="s">
        <v>545</v>
      </c>
      <c r="BM26" s="13" t="s">
        <v>545</v>
      </c>
      <c r="BN26" s="13">
        <v>5</v>
      </c>
      <c r="BO26" s="13" t="s">
        <v>545</v>
      </c>
      <c r="BP26" s="13" t="s">
        <v>545</v>
      </c>
      <c r="BQ26" s="13" t="s">
        <v>545</v>
      </c>
      <c r="BR26" s="13" t="s">
        <v>545</v>
      </c>
      <c r="BS26" s="13" t="s">
        <v>545</v>
      </c>
      <c r="BT26" s="13" t="s">
        <v>545</v>
      </c>
      <c r="BU26" s="13" t="s">
        <v>545</v>
      </c>
      <c r="BV26" s="13" t="s">
        <v>545</v>
      </c>
      <c r="BW26" s="13">
        <v>8</v>
      </c>
      <c r="BX26" s="13">
        <v>8</v>
      </c>
      <c r="BY26" s="13">
        <v>25</v>
      </c>
      <c r="BZ26" s="13">
        <v>45</v>
      </c>
      <c r="CA26" s="13">
        <v>505</v>
      </c>
      <c r="CB26" s="13" t="s">
        <v>545</v>
      </c>
      <c r="CC26" s="13" t="s">
        <v>545</v>
      </c>
      <c r="CD26" s="13" t="s">
        <v>545</v>
      </c>
      <c r="CE26" s="13" t="s">
        <v>545</v>
      </c>
      <c r="CF26" s="13" t="s">
        <v>545</v>
      </c>
      <c r="CG26" s="13" t="s">
        <v>545</v>
      </c>
      <c r="CH26" s="13" t="s">
        <v>545</v>
      </c>
      <c r="CI26" s="13" t="s">
        <v>545</v>
      </c>
      <c r="CJ26" s="13" t="s">
        <v>545</v>
      </c>
      <c r="CK26" s="13" t="s">
        <v>545</v>
      </c>
      <c r="CL26" s="13" t="s">
        <v>545</v>
      </c>
      <c r="CM26" s="13" t="s">
        <v>545</v>
      </c>
      <c r="CN26" s="13" t="s">
        <v>545</v>
      </c>
      <c r="CO26" s="13">
        <v>343</v>
      </c>
      <c r="CP26" s="13" t="s">
        <v>545</v>
      </c>
      <c r="CQ26" s="13">
        <v>16</v>
      </c>
      <c r="CR26" s="13">
        <v>115</v>
      </c>
      <c r="CS26" s="13" t="s">
        <v>545</v>
      </c>
      <c r="CT26" s="13" t="s">
        <v>545</v>
      </c>
      <c r="CU26" s="13">
        <v>10</v>
      </c>
      <c r="CV26" s="13" t="s">
        <v>545</v>
      </c>
      <c r="CW26" s="13" t="s">
        <v>545</v>
      </c>
      <c r="CX26" s="13" t="s">
        <v>545</v>
      </c>
      <c r="CY26" s="13">
        <v>5</v>
      </c>
      <c r="CZ26" s="13">
        <v>13</v>
      </c>
      <c r="DA26" s="13">
        <v>90</v>
      </c>
      <c r="DB26" s="13" t="s">
        <v>545</v>
      </c>
      <c r="DC26" s="32" t="s">
        <v>602</v>
      </c>
    </row>
    <row r="27" spans="1:107" ht="19">
      <c r="A27" s="9" t="s">
        <v>156</v>
      </c>
      <c r="B27" s="9" t="s">
        <v>157</v>
      </c>
      <c r="C27" s="13">
        <v>100</v>
      </c>
      <c r="D27" s="13">
        <v>2</v>
      </c>
      <c r="E27" s="13">
        <v>1</v>
      </c>
      <c r="F27" s="13" t="s">
        <v>545</v>
      </c>
      <c r="G27" s="13">
        <v>18</v>
      </c>
      <c r="H27" s="13">
        <v>10</v>
      </c>
      <c r="I27" s="13">
        <v>2</v>
      </c>
      <c r="J27" s="13">
        <v>212</v>
      </c>
      <c r="K27" s="13">
        <v>155</v>
      </c>
      <c r="L27" s="13">
        <v>9</v>
      </c>
      <c r="M27" s="13">
        <v>74</v>
      </c>
      <c r="N27" s="13">
        <v>224</v>
      </c>
      <c r="O27" s="13">
        <v>527</v>
      </c>
      <c r="P27" s="13">
        <v>467</v>
      </c>
      <c r="Q27" s="13">
        <v>182</v>
      </c>
      <c r="R27" s="13">
        <v>335</v>
      </c>
      <c r="S27" s="13">
        <v>26</v>
      </c>
      <c r="T27" s="13">
        <v>42</v>
      </c>
      <c r="U27" s="13">
        <v>16</v>
      </c>
      <c r="V27" s="13">
        <v>5</v>
      </c>
      <c r="W27" s="13">
        <v>77</v>
      </c>
      <c r="X27" s="13" t="s">
        <v>603</v>
      </c>
      <c r="Y27" s="13" t="s">
        <v>604</v>
      </c>
      <c r="Z27" s="13">
        <v>11</v>
      </c>
      <c r="AA27" s="13">
        <v>18</v>
      </c>
      <c r="AB27" s="13">
        <v>416</v>
      </c>
      <c r="AC27" s="13">
        <v>120</v>
      </c>
      <c r="AD27" s="13">
        <v>8</v>
      </c>
      <c r="AE27" s="13">
        <v>10</v>
      </c>
      <c r="AF27" s="13">
        <v>17</v>
      </c>
      <c r="AG27" s="13">
        <v>143</v>
      </c>
      <c r="AH27" s="13">
        <v>291</v>
      </c>
      <c r="AI27" s="13">
        <v>100</v>
      </c>
      <c r="AJ27" s="13">
        <v>76</v>
      </c>
      <c r="AK27" s="13">
        <v>6</v>
      </c>
      <c r="AL27" s="13">
        <v>6</v>
      </c>
      <c r="AM27" s="13">
        <v>93</v>
      </c>
      <c r="AN27" s="13">
        <v>97</v>
      </c>
      <c r="AO27" s="13">
        <v>127</v>
      </c>
      <c r="AP27" s="13">
        <v>70</v>
      </c>
      <c r="AQ27" s="13">
        <v>71</v>
      </c>
      <c r="AR27" s="13">
        <v>15</v>
      </c>
      <c r="AS27" s="13">
        <v>9</v>
      </c>
      <c r="AT27" s="13">
        <v>2</v>
      </c>
      <c r="AU27" s="13">
        <v>49</v>
      </c>
      <c r="AV27" s="13">
        <v>200</v>
      </c>
      <c r="AW27" s="13">
        <v>1</v>
      </c>
      <c r="AX27" s="13">
        <v>5</v>
      </c>
      <c r="AY27" s="13">
        <v>52</v>
      </c>
      <c r="AZ27" s="13">
        <v>107</v>
      </c>
      <c r="BA27" s="13">
        <v>36</v>
      </c>
      <c r="BB27" s="13">
        <v>3</v>
      </c>
      <c r="BC27" s="13">
        <v>1</v>
      </c>
      <c r="BD27" s="13">
        <v>133</v>
      </c>
      <c r="BE27" s="13">
        <v>25</v>
      </c>
      <c r="BF27" s="13">
        <v>290</v>
      </c>
      <c r="BG27" s="13">
        <v>102</v>
      </c>
      <c r="BH27" s="13" t="s">
        <v>605</v>
      </c>
      <c r="BI27" s="13">
        <v>874</v>
      </c>
      <c r="BJ27" s="13">
        <v>2</v>
      </c>
      <c r="BK27" s="13">
        <v>162</v>
      </c>
      <c r="BL27" s="13">
        <v>9</v>
      </c>
      <c r="BM27" s="13">
        <v>10</v>
      </c>
      <c r="BN27" s="13">
        <v>407</v>
      </c>
      <c r="BO27" s="13">
        <v>287</v>
      </c>
      <c r="BP27" s="13">
        <v>160</v>
      </c>
      <c r="BQ27" s="13">
        <v>686</v>
      </c>
      <c r="BR27" s="13" t="s">
        <v>606</v>
      </c>
      <c r="BS27" s="13">
        <v>82</v>
      </c>
      <c r="BT27" s="13">
        <v>79</v>
      </c>
      <c r="BU27" s="13">
        <v>273</v>
      </c>
      <c r="BV27" s="13">
        <v>181</v>
      </c>
      <c r="BW27" s="13">
        <v>360</v>
      </c>
      <c r="BX27" s="13">
        <v>41</v>
      </c>
      <c r="BY27" s="13">
        <v>356</v>
      </c>
      <c r="BZ27" s="13">
        <v>141</v>
      </c>
      <c r="CA27" s="13">
        <v>42</v>
      </c>
      <c r="CB27" s="13">
        <v>75</v>
      </c>
      <c r="CC27" s="13">
        <v>212</v>
      </c>
      <c r="CD27" s="13">
        <v>131</v>
      </c>
      <c r="CE27" s="13">
        <v>349</v>
      </c>
      <c r="CF27" s="13">
        <v>76</v>
      </c>
      <c r="CG27" s="13">
        <v>437</v>
      </c>
      <c r="CH27" s="13">
        <v>349</v>
      </c>
      <c r="CI27" s="13">
        <v>341</v>
      </c>
      <c r="CJ27" s="13">
        <v>64</v>
      </c>
      <c r="CK27" s="13">
        <v>71</v>
      </c>
      <c r="CL27" s="13">
        <v>46</v>
      </c>
      <c r="CM27" s="13">
        <v>50</v>
      </c>
      <c r="CN27" s="13">
        <v>20</v>
      </c>
      <c r="CO27" s="13">
        <v>257</v>
      </c>
      <c r="CP27" s="13">
        <v>138</v>
      </c>
      <c r="CQ27" s="13" t="s">
        <v>607</v>
      </c>
      <c r="CR27" s="13">
        <v>973</v>
      </c>
      <c r="CS27" s="13" t="s">
        <v>608</v>
      </c>
      <c r="CT27" s="13">
        <v>379</v>
      </c>
      <c r="CU27" s="13">
        <v>53</v>
      </c>
      <c r="CV27" s="13">
        <v>24</v>
      </c>
      <c r="CW27" s="13">
        <v>121</v>
      </c>
      <c r="CX27" s="13">
        <v>272</v>
      </c>
      <c r="CY27" s="13">
        <v>70</v>
      </c>
      <c r="CZ27" s="13">
        <v>9</v>
      </c>
      <c r="DA27" s="13">
        <v>145</v>
      </c>
      <c r="DB27" s="13" t="s">
        <v>545</v>
      </c>
      <c r="DC27" s="32" t="s">
        <v>609</v>
      </c>
    </row>
    <row r="28" spans="1:107" ht="19">
      <c r="A28" s="9" t="s">
        <v>158</v>
      </c>
      <c r="B28" s="9" t="s">
        <v>159</v>
      </c>
      <c r="C28" s="13" t="s">
        <v>545</v>
      </c>
      <c r="D28" s="13" t="s">
        <v>545</v>
      </c>
      <c r="E28" s="13" t="s">
        <v>545</v>
      </c>
      <c r="F28" s="13" t="s">
        <v>545</v>
      </c>
      <c r="G28" s="13" t="s">
        <v>545</v>
      </c>
      <c r="H28" s="13" t="s">
        <v>545</v>
      </c>
      <c r="I28" s="13" t="s">
        <v>545</v>
      </c>
      <c r="J28" s="13" t="s">
        <v>545</v>
      </c>
      <c r="K28" s="13" t="s">
        <v>545</v>
      </c>
      <c r="L28" s="13" t="s">
        <v>545</v>
      </c>
      <c r="M28" s="13" t="s">
        <v>545</v>
      </c>
      <c r="N28" s="13" t="s">
        <v>545</v>
      </c>
      <c r="O28" s="13" t="s">
        <v>545</v>
      </c>
      <c r="P28" s="13" t="s">
        <v>545</v>
      </c>
      <c r="Q28" s="13" t="s">
        <v>545</v>
      </c>
      <c r="R28" s="13" t="s">
        <v>545</v>
      </c>
      <c r="S28" s="13" t="s">
        <v>545</v>
      </c>
      <c r="T28" s="13">
        <v>2</v>
      </c>
      <c r="U28" s="13" t="s">
        <v>545</v>
      </c>
      <c r="V28" s="13" t="s">
        <v>545</v>
      </c>
      <c r="W28" s="13" t="s">
        <v>545</v>
      </c>
      <c r="X28" s="13">
        <v>6</v>
      </c>
      <c r="Y28" s="13">
        <v>729</v>
      </c>
      <c r="Z28" s="13" t="s">
        <v>545</v>
      </c>
      <c r="AA28" s="13" t="s">
        <v>545</v>
      </c>
      <c r="AB28" s="13" t="s">
        <v>545</v>
      </c>
      <c r="AC28" s="13" t="s">
        <v>545</v>
      </c>
      <c r="AD28" s="13" t="s">
        <v>545</v>
      </c>
      <c r="AE28" s="13" t="s">
        <v>545</v>
      </c>
      <c r="AF28" s="13" t="s">
        <v>545</v>
      </c>
      <c r="AG28" s="13" t="s">
        <v>545</v>
      </c>
      <c r="AH28" s="13">
        <v>1</v>
      </c>
      <c r="AI28" s="13" t="s">
        <v>545</v>
      </c>
      <c r="AJ28" s="13" t="s">
        <v>545</v>
      </c>
      <c r="AK28" s="13" t="s">
        <v>545</v>
      </c>
      <c r="AL28" s="13" t="s">
        <v>545</v>
      </c>
      <c r="AM28" s="13">
        <v>1</v>
      </c>
      <c r="AN28" s="13" t="s">
        <v>545</v>
      </c>
      <c r="AO28" s="13" t="s">
        <v>545</v>
      </c>
      <c r="AP28" s="13" t="s">
        <v>545</v>
      </c>
      <c r="AQ28" s="13" t="s">
        <v>545</v>
      </c>
      <c r="AR28" s="13" t="s">
        <v>545</v>
      </c>
      <c r="AS28" s="13" t="s">
        <v>545</v>
      </c>
      <c r="AT28" s="13" t="s">
        <v>545</v>
      </c>
      <c r="AU28" s="13" t="s">
        <v>545</v>
      </c>
      <c r="AV28" s="13" t="s">
        <v>545</v>
      </c>
      <c r="AW28" s="13" t="s">
        <v>545</v>
      </c>
      <c r="AX28" s="13" t="s">
        <v>545</v>
      </c>
      <c r="AY28" s="13" t="s">
        <v>545</v>
      </c>
      <c r="AZ28" s="13" t="s">
        <v>545</v>
      </c>
      <c r="BA28" s="13" t="s">
        <v>545</v>
      </c>
      <c r="BB28" s="13" t="s">
        <v>545</v>
      </c>
      <c r="BC28" s="13" t="s">
        <v>545</v>
      </c>
      <c r="BD28" s="13">
        <v>33</v>
      </c>
      <c r="BE28" s="13" t="s">
        <v>545</v>
      </c>
      <c r="BF28" s="13" t="s">
        <v>545</v>
      </c>
      <c r="BG28" s="13">
        <v>43</v>
      </c>
      <c r="BH28" s="13">
        <v>454</v>
      </c>
      <c r="BI28" s="13">
        <v>599</v>
      </c>
      <c r="BJ28" s="13" t="s">
        <v>545</v>
      </c>
      <c r="BK28" s="13" t="s">
        <v>545</v>
      </c>
      <c r="BL28" s="13" t="s">
        <v>545</v>
      </c>
      <c r="BM28" s="13" t="s">
        <v>545</v>
      </c>
      <c r="BN28" s="13">
        <v>12</v>
      </c>
      <c r="BO28" s="13">
        <v>4</v>
      </c>
      <c r="BP28" s="13" t="s">
        <v>545</v>
      </c>
      <c r="BQ28" s="13" t="s">
        <v>545</v>
      </c>
      <c r="BR28" s="13" t="s">
        <v>610</v>
      </c>
      <c r="BS28" s="13">
        <v>12</v>
      </c>
      <c r="BT28" s="13">
        <v>29</v>
      </c>
      <c r="BU28" s="13" t="s">
        <v>545</v>
      </c>
      <c r="BV28" s="13" t="s">
        <v>545</v>
      </c>
      <c r="BW28" s="13">
        <v>406</v>
      </c>
      <c r="BX28" s="13">
        <v>476</v>
      </c>
      <c r="BY28" s="13">
        <v>315</v>
      </c>
      <c r="BZ28" s="13" t="s">
        <v>545</v>
      </c>
      <c r="CA28" s="13">
        <v>35</v>
      </c>
      <c r="CB28" s="13" t="s">
        <v>545</v>
      </c>
      <c r="CC28" s="13">
        <v>80</v>
      </c>
      <c r="CD28" s="13" t="s">
        <v>545</v>
      </c>
      <c r="CE28" s="13" t="s">
        <v>545</v>
      </c>
      <c r="CF28" s="13" t="s">
        <v>545</v>
      </c>
      <c r="CG28" s="13" t="s">
        <v>545</v>
      </c>
      <c r="CH28" s="13" t="s">
        <v>545</v>
      </c>
      <c r="CI28" s="13" t="s">
        <v>545</v>
      </c>
      <c r="CJ28" s="13" t="s">
        <v>545</v>
      </c>
      <c r="CK28" s="13" t="s">
        <v>545</v>
      </c>
      <c r="CL28" s="13" t="s">
        <v>545</v>
      </c>
      <c r="CM28" s="13">
        <v>78</v>
      </c>
      <c r="CN28" s="13" t="s">
        <v>545</v>
      </c>
      <c r="CO28" s="13">
        <v>29</v>
      </c>
      <c r="CP28" s="13" t="s">
        <v>545</v>
      </c>
      <c r="CQ28" s="13" t="s">
        <v>611</v>
      </c>
      <c r="CR28" s="13" t="s">
        <v>612</v>
      </c>
      <c r="CS28" s="13" t="s">
        <v>613</v>
      </c>
      <c r="CT28" s="13">
        <v>126</v>
      </c>
      <c r="CU28" s="13">
        <v>20</v>
      </c>
      <c r="CV28" s="13">
        <v>76</v>
      </c>
      <c r="CW28" s="13" t="s">
        <v>545</v>
      </c>
      <c r="CX28" s="13">
        <v>277</v>
      </c>
      <c r="CY28" s="13" t="s">
        <v>545</v>
      </c>
      <c r="CZ28" s="13" t="s">
        <v>545</v>
      </c>
      <c r="DA28" s="13" t="s">
        <v>545</v>
      </c>
      <c r="DB28" s="13" t="s">
        <v>545</v>
      </c>
      <c r="DC28" s="32" t="s">
        <v>614</v>
      </c>
    </row>
    <row r="29" spans="1:107" ht="19">
      <c r="A29" s="9" t="s">
        <v>160</v>
      </c>
      <c r="B29" s="9" t="s">
        <v>161</v>
      </c>
      <c r="C29" s="13" t="s">
        <v>615</v>
      </c>
      <c r="D29" s="13">
        <v>57</v>
      </c>
      <c r="E29" s="13">
        <v>57</v>
      </c>
      <c r="F29" s="13">
        <v>7</v>
      </c>
      <c r="G29" s="13">
        <v>217</v>
      </c>
      <c r="H29" s="13">
        <v>244</v>
      </c>
      <c r="I29" s="13">
        <v>15</v>
      </c>
      <c r="J29" s="13">
        <v>108</v>
      </c>
      <c r="K29" s="13">
        <v>22</v>
      </c>
      <c r="L29" s="13">
        <v>7</v>
      </c>
      <c r="M29" s="13">
        <v>65</v>
      </c>
      <c r="N29" s="13">
        <v>19</v>
      </c>
      <c r="O29" s="13">
        <v>66</v>
      </c>
      <c r="P29" s="13">
        <v>24</v>
      </c>
      <c r="Q29" s="13">
        <v>86</v>
      </c>
      <c r="R29" s="13">
        <v>77</v>
      </c>
      <c r="S29" s="13">
        <v>15</v>
      </c>
      <c r="T29" s="13">
        <v>28</v>
      </c>
      <c r="U29" s="13">
        <v>10</v>
      </c>
      <c r="V29" s="13" t="s">
        <v>545</v>
      </c>
      <c r="W29" s="13">
        <v>50</v>
      </c>
      <c r="X29" s="13">
        <v>25</v>
      </c>
      <c r="Y29" s="13">
        <v>25</v>
      </c>
      <c r="Z29" s="13" t="s">
        <v>616</v>
      </c>
      <c r="AA29" s="13">
        <v>9</v>
      </c>
      <c r="AB29" s="13">
        <v>9</v>
      </c>
      <c r="AC29" s="13">
        <v>7</v>
      </c>
      <c r="AD29" s="13">
        <v>28</v>
      </c>
      <c r="AE29" s="13">
        <v>310</v>
      </c>
      <c r="AF29" s="13" t="s">
        <v>545</v>
      </c>
      <c r="AG29" s="13">
        <v>10</v>
      </c>
      <c r="AH29" s="13">
        <v>107</v>
      </c>
      <c r="AI29" s="13">
        <v>195</v>
      </c>
      <c r="AJ29" s="13">
        <v>62</v>
      </c>
      <c r="AK29" s="13">
        <v>131</v>
      </c>
      <c r="AL29" s="13">
        <v>8</v>
      </c>
      <c r="AM29" s="13">
        <v>62</v>
      </c>
      <c r="AN29" s="13">
        <v>9</v>
      </c>
      <c r="AO29" s="13">
        <v>35</v>
      </c>
      <c r="AP29" s="13">
        <v>84</v>
      </c>
      <c r="AQ29" s="13">
        <v>58</v>
      </c>
      <c r="AR29" s="13">
        <v>14</v>
      </c>
      <c r="AS29" s="13">
        <v>11</v>
      </c>
      <c r="AT29" s="13">
        <v>4</v>
      </c>
      <c r="AU29" s="13">
        <v>28</v>
      </c>
      <c r="AV29" s="13">
        <v>35</v>
      </c>
      <c r="AW29" s="13">
        <v>4</v>
      </c>
      <c r="AX29" s="13">
        <v>11</v>
      </c>
      <c r="AY29" s="13">
        <v>305</v>
      </c>
      <c r="AZ29" s="13">
        <v>304</v>
      </c>
      <c r="BA29" s="13">
        <v>3</v>
      </c>
      <c r="BB29" s="13">
        <v>46</v>
      </c>
      <c r="BC29" s="13">
        <v>125</v>
      </c>
      <c r="BD29" s="13">
        <v>289</v>
      </c>
      <c r="BE29" s="13">
        <v>34</v>
      </c>
      <c r="BF29" s="13" t="s">
        <v>617</v>
      </c>
      <c r="BG29" s="13" t="s">
        <v>618</v>
      </c>
      <c r="BH29" s="13" t="s">
        <v>619</v>
      </c>
      <c r="BI29" s="13" t="s">
        <v>620</v>
      </c>
      <c r="BJ29" s="13">
        <v>575</v>
      </c>
      <c r="BK29" s="13" t="s">
        <v>621</v>
      </c>
      <c r="BL29" s="13" t="s">
        <v>622</v>
      </c>
      <c r="BM29" s="13" t="s">
        <v>623</v>
      </c>
      <c r="BN29" s="13" t="s">
        <v>624</v>
      </c>
      <c r="BO29" s="13">
        <v>769</v>
      </c>
      <c r="BP29" s="13">
        <v>95</v>
      </c>
      <c r="BQ29" s="13">
        <v>165</v>
      </c>
      <c r="BR29" s="13">
        <v>16</v>
      </c>
      <c r="BS29" s="13">
        <v>57</v>
      </c>
      <c r="BT29" s="13">
        <v>173</v>
      </c>
      <c r="BU29" s="13">
        <v>167</v>
      </c>
      <c r="BV29" s="13">
        <v>7</v>
      </c>
      <c r="BW29" s="13">
        <v>723</v>
      </c>
      <c r="BX29" s="13">
        <v>108</v>
      </c>
      <c r="BY29" s="13">
        <v>485</v>
      </c>
      <c r="BZ29" s="13">
        <v>144</v>
      </c>
      <c r="CA29" s="13">
        <v>12</v>
      </c>
      <c r="CB29" s="13">
        <v>64</v>
      </c>
      <c r="CC29" s="13">
        <v>14</v>
      </c>
      <c r="CD29" s="13">
        <v>61</v>
      </c>
      <c r="CE29" s="13">
        <v>180</v>
      </c>
      <c r="CF29" s="13">
        <v>449</v>
      </c>
      <c r="CG29" s="13">
        <v>33</v>
      </c>
      <c r="CH29" s="13">
        <v>61</v>
      </c>
      <c r="CI29" s="13">
        <v>60</v>
      </c>
      <c r="CJ29" s="13">
        <v>21</v>
      </c>
      <c r="CK29" s="13">
        <v>678</v>
      </c>
      <c r="CL29" s="13">
        <v>91</v>
      </c>
      <c r="CM29" s="13" t="s">
        <v>625</v>
      </c>
      <c r="CN29" s="13">
        <v>27</v>
      </c>
      <c r="CO29" s="13">
        <v>323</v>
      </c>
      <c r="CP29" s="13">
        <v>160</v>
      </c>
      <c r="CQ29" s="13" t="s">
        <v>626</v>
      </c>
      <c r="CR29" s="13">
        <v>895</v>
      </c>
      <c r="CS29" s="13">
        <v>860</v>
      </c>
      <c r="CT29" s="13">
        <v>463</v>
      </c>
      <c r="CU29" s="13">
        <v>56</v>
      </c>
      <c r="CV29" s="13">
        <v>50</v>
      </c>
      <c r="CW29" s="13">
        <v>4</v>
      </c>
      <c r="CX29" s="13">
        <v>151</v>
      </c>
      <c r="CY29" s="13">
        <v>142</v>
      </c>
      <c r="CZ29" s="13">
        <v>25</v>
      </c>
      <c r="DA29" s="13">
        <v>240</v>
      </c>
      <c r="DB29" s="13" t="s">
        <v>545</v>
      </c>
      <c r="DC29" s="32" t="s">
        <v>627</v>
      </c>
    </row>
    <row r="30" spans="1:107" ht="19">
      <c r="A30" s="9" t="s">
        <v>162</v>
      </c>
      <c r="B30" s="9" t="s">
        <v>163</v>
      </c>
      <c r="C30" s="13" t="s">
        <v>545</v>
      </c>
      <c r="D30" s="13" t="s">
        <v>545</v>
      </c>
      <c r="E30" s="13" t="s">
        <v>545</v>
      </c>
      <c r="F30" s="13" t="s">
        <v>545</v>
      </c>
      <c r="G30" s="13" t="s">
        <v>545</v>
      </c>
      <c r="H30" s="13" t="s">
        <v>545</v>
      </c>
      <c r="I30" s="13" t="s">
        <v>545</v>
      </c>
      <c r="J30" s="13" t="s">
        <v>545</v>
      </c>
      <c r="K30" s="13" t="s">
        <v>545</v>
      </c>
      <c r="L30" s="13" t="s">
        <v>545</v>
      </c>
      <c r="M30" s="13" t="s">
        <v>545</v>
      </c>
      <c r="N30" s="13" t="s">
        <v>545</v>
      </c>
      <c r="O30" s="13" t="s">
        <v>545</v>
      </c>
      <c r="P30" s="13" t="s">
        <v>545</v>
      </c>
      <c r="Q30" s="13" t="s">
        <v>545</v>
      </c>
      <c r="R30" s="13" t="s">
        <v>545</v>
      </c>
      <c r="S30" s="13" t="s">
        <v>545</v>
      </c>
      <c r="T30" s="13" t="s">
        <v>545</v>
      </c>
      <c r="U30" s="13" t="s">
        <v>545</v>
      </c>
      <c r="V30" s="13" t="s">
        <v>545</v>
      </c>
      <c r="W30" s="13">
        <v>69</v>
      </c>
      <c r="X30" s="13">
        <v>325</v>
      </c>
      <c r="Y30" s="13">
        <v>243</v>
      </c>
      <c r="Z30" s="13" t="s">
        <v>545</v>
      </c>
      <c r="AA30" s="13">
        <v>377</v>
      </c>
      <c r="AB30" s="13">
        <v>2</v>
      </c>
      <c r="AC30" s="13">
        <v>13</v>
      </c>
      <c r="AD30" s="13" t="s">
        <v>545</v>
      </c>
      <c r="AE30" s="13" t="s">
        <v>545</v>
      </c>
      <c r="AF30" s="13" t="s">
        <v>545</v>
      </c>
      <c r="AG30" s="13" t="s">
        <v>545</v>
      </c>
      <c r="AH30" s="13">
        <v>73</v>
      </c>
      <c r="AI30" s="13">
        <v>8</v>
      </c>
      <c r="AJ30" s="13">
        <v>33</v>
      </c>
      <c r="AK30" s="13" t="s">
        <v>545</v>
      </c>
      <c r="AL30" s="13" t="s">
        <v>545</v>
      </c>
      <c r="AM30" s="13">
        <v>418</v>
      </c>
      <c r="AN30" s="13">
        <v>2</v>
      </c>
      <c r="AO30" s="13">
        <v>58</v>
      </c>
      <c r="AP30" s="13">
        <v>189</v>
      </c>
      <c r="AQ30" s="13" t="s">
        <v>628</v>
      </c>
      <c r="AR30" s="13">
        <v>53</v>
      </c>
      <c r="AS30" s="13" t="s">
        <v>545</v>
      </c>
      <c r="AT30" s="13">
        <v>2</v>
      </c>
      <c r="AU30" s="13">
        <v>19</v>
      </c>
      <c r="AV30" s="13">
        <v>5</v>
      </c>
      <c r="AW30" s="13">
        <v>11</v>
      </c>
      <c r="AX30" s="13" t="s">
        <v>545</v>
      </c>
      <c r="AY30" s="13">
        <v>87</v>
      </c>
      <c r="AZ30" s="13" t="s">
        <v>545</v>
      </c>
      <c r="BA30" s="13" t="s">
        <v>545</v>
      </c>
      <c r="BB30" s="13" t="s">
        <v>545</v>
      </c>
      <c r="BC30" s="13" t="s">
        <v>545</v>
      </c>
      <c r="BD30" s="13">
        <v>16</v>
      </c>
      <c r="BE30" s="13" t="s">
        <v>545</v>
      </c>
      <c r="BF30" s="13" t="s">
        <v>629</v>
      </c>
      <c r="BG30" s="13" t="s">
        <v>545</v>
      </c>
      <c r="BH30" s="13">
        <v>30</v>
      </c>
      <c r="BI30" s="13" t="s">
        <v>545</v>
      </c>
      <c r="BJ30" s="13" t="s">
        <v>545</v>
      </c>
      <c r="BK30" s="13" t="s">
        <v>545</v>
      </c>
      <c r="BL30" s="13" t="s">
        <v>545</v>
      </c>
      <c r="BM30" s="13" t="s">
        <v>545</v>
      </c>
      <c r="BN30" s="13" t="s">
        <v>545</v>
      </c>
      <c r="BO30" s="13" t="s">
        <v>545</v>
      </c>
      <c r="BP30" s="13" t="s">
        <v>545</v>
      </c>
      <c r="BQ30" s="13" t="s">
        <v>545</v>
      </c>
      <c r="BR30" s="13">
        <v>226</v>
      </c>
      <c r="BS30" s="13" t="s">
        <v>545</v>
      </c>
      <c r="BT30" s="13" t="s">
        <v>545</v>
      </c>
      <c r="BU30" s="13">
        <v>3</v>
      </c>
      <c r="BV30" s="13" t="s">
        <v>545</v>
      </c>
      <c r="BW30" s="13">
        <v>6</v>
      </c>
      <c r="BX30" s="13">
        <v>3</v>
      </c>
      <c r="BY30" s="13">
        <v>25</v>
      </c>
      <c r="BZ30" s="13">
        <v>43</v>
      </c>
      <c r="CA30" s="13">
        <v>10</v>
      </c>
      <c r="CB30" s="13" t="s">
        <v>545</v>
      </c>
      <c r="CC30" s="13" t="s">
        <v>545</v>
      </c>
      <c r="CD30" s="13" t="s">
        <v>545</v>
      </c>
      <c r="CE30" s="13" t="s">
        <v>545</v>
      </c>
      <c r="CF30" s="13" t="s">
        <v>545</v>
      </c>
      <c r="CG30" s="13" t="s">
        <v>545</v>
      </c>
      <c r="CH30" s="13">
        <v>18</v>
      </c>
      <c r="CI30" s="13" t="s">
        <v>545</v>
      </c>
      <c r="CJ30" s="13" t="s">
        <v>545</v>
      </c>
      <c r="CK30" s="13" t="s">
        <v>545</v>
      </c>
      <c r="CL30" s="13" t="s">
        <v>545</v>
      </c>
      <c r="CM30" s="13" t="s">
        <v>545</v>
      </c>
      <c r="CN30" s="13" t="s">
        <v>545</v>
      </c>
      <c r="CO30" s="13" t="s">
        <v>545</v>
      </c>
      <c r="CP30" s="13" t="s">
        <v>545</v>
      </c>
      <c r="CQ30" s="13">
        <v>133</v>
      </c>
      <c r="CR30" s="13">
        <v>100</v>
      </c>
      <c r="CS30" s="13" t="s">
        <v>545</v>
      </c>
      <c r="CT30" s="13">
        <v>55</v>
      </c>
      <c r="CU30" s="13" t="s">
        <v>545</v>
      </c>
      <c r="CV30" s="13" t="s">
        <v>545</v>
      </c>
      <c r="CW30" s="13" t="s">
        <v>545</v>
      </c>
      <c r="CX30" s="13">
        <v>15</v>
      </c>
      <c r="CY30" s="13" t="s">
        <v>545</v>
      </c>
      <c r="CZ30" s="13">
        <v>1</v>
      </c>
      <c r="DA30" s="13" t="s">
        <v>545</v>
      </c>
      <c r="DB30" s="13" t="s">
        <v>545</v>
      </c>
      <c r="DC30" s="32" t="s">
        <v>630</v>
      </c>
    </row>
    <row r="31" spans="1:107" ht="19">
      <c r="A31" s="9" t="s">
        <v>164</v>
      </c>
      <c r="B31" s="9" t="s">
        <v>165</v>
      </c>
      <c r="C31" s="13" t="s">
        <v>545</v>
      </c>
      <c r="D31" s="13" t="s">
        <v>545</v>
      </c>
      <c r="E31" s="13" t="s">
        <v>545</v>
      </c>
      <c r="F31" s="13" t="s">
        <v>545</v>
      </c>
      <c r="G31" s="13" t="s">
        <v>545</v>
      </c>
      <c r="H31" s="13" t="s">
        <v>545</v>
      </c>
      <c r="I31" s="13" t="s">
        <v>545</v>
      </c>
      <c r="J31" s="13">
        <v>5</v>
      </c>
      <c r="K31" s="13">
        <v>2</v>
      </c>
      <c r="L31" s="13" t="s">
        <v>545</v>
      </c>
      <c r="M31" s="13">
        <v>15</v>
      </c>
      <c r="N31" s="13" t="s">
        <v>545</v>
      </c>
      <c r="O31" s="13">
        <v>4</v>
      </c>
      <c r="P31" s="13">
        <v>3</v>
      </c>
      <c r="Q31" s="13" t="s">
        <v>545</v>
      </c>
      <c r="R31" s="13" t="s">
        <v>545</v>
      </c>
      <c r="S31" s="13" t="s">
        <v>545</v>
      </c>
      <c r="T31" s="13" t="s">
        <v>545</v>
      </c>
      <c r="U31" s="13" t="s">
        <v>545</v>
      </c>
      <c r="V31" s="13" t="s">
        <v>545</v>
      </c>
      <c r="W31" s="13" t="s">
        <v>545</v>
      </c>
      <c r="X31" s="13" t="s">
        <v>545</v>
      </c>
      <c r="Y31" s="13" t="s">
        <v>545</v>
      </c>
      <c r="Z31" s="13" t="s">
        <v>545</v>
      </c>
      <c r="AA31" s="13" t="s">
        <v>545</v>
      </c>
      <c r="AB31" s="13">
        <v>612</v>
      </c>
      <c r="AC31" s="13" t="s">
        <v>545</v>
      </c>
      <c r="AD31" s="13">
        <v>2</v>
      </c>
      <c r="AE31" s="13" t="s">
        <v>545</v>
      </c>
      <c r="AF31" s="13" t="s">
        <v>545</v>
      </c>
      <c r="AG31" s="13" t="s">
        <v>545</v>
      </c>
      <c r="AH31" s="13">
        <v>2</v>
      </c>
      <c r="AI31" s="13" t="s">
        <v>545</v>
      </c>
      <c r="AJ31" s="13" t="s">
        <v>545</v>
      </c>
      <c r="AK31" s="13" t="s">
        <v>545</v>
      </c>
      <c r="AL31" s="13" t="s">
        <v>545</v>
      </c>
      <c r="AM31" s="13" t="s">
        <v>545</v>
      </c>
      <c r="AN31" s="13" t="s">
        <v>545</v>
      </c>
      <c r="AO31" s="13">
        <v>1</v>
      </c>
      <c r="AP31" s="13" t="s">
        <v>545</v>
      </c>
      <c r="AQ31" s="13" t="s">
        <v>545</v>
      </c>
      <c r="AR31" s="13" t="s">
        <v>545</v>
      </c>
      <c r="AS31" s="13" t="s">
        <v>545</v>
      </c>
      <c r="AT31" s="13" t="s">
        <v>545</v>
      </c>
      <c r="AU31" s="13" t="s">
        <v>545</v>
      </c>
      <c r="AV31" s="13">
        <v>3</v>
      </c>
      <c r="AW31" s="13" t="s">
        <v>545</v>
      </c>
      <c r="AX31" s="13" t="s">
        <v>545</v>
      </c>
      <c r="AY31" s="13" t="s">
        <v>545</v>
      </c>
      <c r="AZ31" s="13" t="s">
        <v>545</v>
      </c>
      <c r="BA31" s="13" t="s">
        <v>545</v>
      </c>
      <c r="BB31" s="13" t="s">
        <v>545</v>
      </c>
      <c r="BC31" s="13">
        <v>1</v>
      </c>
      <c r="BD31" s="13">
        <v>61</v>
      </c>
      <c r="BE31" s="13">
        <v>6</v>
      </c>
      <c r="BF31" s="13">
        <v>1</v>
      </c>
      <c r="BG31" s="13" t="s">
        <v>545</v>
      </c>
      <c r="BH31" s="13">
        <v>129</v>
      </c>
      <c r="BI31" s="13">
        <v>504</v>
      </c>
      <c r="BJ31" s="13" t="s">
        <v>545</v>
      </c>
      <c r="BK31" s="13" t="s">
        <v>545</v>
      </c>
      <c r="BL31" s="13" t="s">
        <v>545</v>
      </c>
      <c r="BM31" s="13" t="s">
        <v>545</v>
      </c>
      <c r="BN31" s="13" t="s">
        <v>545</v>
      </c>
      <c r="BO31" s="13" t="s">
        <v>545</v>
      </c>
      <c r="BP31" s="13" t="s">
        <v>545</v>
      </c>
      <c r="BQ31" s="13">
        <v>222</v>
      </c>
      <c r="BR31" s="13" t="s">
        <v>545</v>
      </c>
      <c r="BS31" s="13" t="s">
        <v>545</v>
      </c>
      <c r="BT31" s="13" t="s">
        <v>545</v>
      </c>
      <c r="BU31" s="13" t="s">
        <v>545</v>
      </c>
      <c r="BV31" s="13" t="s">
        <v>545</v>
      </c>
      <c r="BW31" s="13">
        <v>14</v>
      </c>
      <c r="BX31" s="13" t="s">
        <v>545</v>
      </c>
      <c r="BY31" s="13">
        <v>32</v>
      </c>
      <c r="BZ31" s="13">
        <v>42</v>
      </c>
      <c r="CA31" s="13" t="s">
        <v>545</v>
      </c>
      <c r="CB31" s="13" t="s">
        <v>545</v>
      </c>
      <c r="CC31" s="13" t="s">
        <v>545</v>
      </c>
      <c r="CD31" s="13" t="s">
        <v>545</v>
      </c>
      <c r="CE31" s="13" t="s">
        <v>545</v>
      </c>
      <c r="CF31" s="13" t="s">
        <v>545</v>
      </c>
      <c r="CG31" s="13" t="s">
        <v>545</v>
      </c>
      <c r="CH31" s="13">
        <v>26</v>
      </c>
      <c r="CI31" s="13" t="s">
        <v>545</v>
      </c>
      <c r="CJ31" s="13">
        <v>2</v>
      </c>
      <c r="CK31" s="13" t="s">
        <v>545</v>
      </c>
      <c r="CL31" s="13" t="s">
        <v>545</v>
      </c>
      <c r="CM31" s="13" t="s">
        <v>545</v>
      </c>
      <c r="CN31" s="13" t="s">
        <v>545</v>
      </c>
      <c r="CO31" s="13">
        <v>350</v>
      </c>
      <c r="CP31" s="13" t="s">
        <v>545</v>
      </c>
      <c r="CQ31" s="13">
        <v>187</v>
      </c>
      <c r="CR31" s="13">
        <v>467</v>
      </c>
      <c r="CS31" s="13">
        <v>112</v>
      </c>
      <c r="CT31" s="13">
        <v>355</v>
      </c>
      <c r="CU31" s="13">
        <v>10</v>
      </c>
      <c r="CV31" s="13">
        <v>11</v>
      </c>
      <c r="CW31" s="13" t="s">
        <v>545</v>
      </c>
      <c r="CX31" s="13">
        <v>34</v>
      </c>
      <c r="CY31" s="13">
        <v>2</v>
      </c>
      <c r="CZ31" s="13" t="s">
        <v>545</v>
      </c>
      <c r="DA31" s="13">
        <v>579</v>
      </c>
      <c r="DB31" s="13" t="s">
        <v>545</v>
      </c>
      <c r="DC31" s="32" t="s">
        <v>631</v>
      </c>
    </row>
    <row r="32" spans="1:107" ht="19">
      <c r="A32" s="9" t="s">
        <v>166</v>
      </c>
      <c r="B32" s="9" t="s">
        <v>167</v>
      </c>
      <c r="C32" s="13" t="s">
        <v>545</v>
      </c>
      <c r="D32" s="13">
        <v>1</v>
      </c>
      <c r="E32" s="13" t="s">
        <v>545</v>
      </c>
      <c r="F32" s="13">
        <v>1</v>
      </c>
      <c r="G32" s="13" t="s">
        <v>545</v>
      </c>
      <c r="H32" s="13">
        <v>59</v>
      </c>
      <c r="I32" s="13">
        <v>47</v>
      </c>
      <c r="J32" s="13">
        <v>15</v>
      </c>
      <c r="K32" s="13">
        <v>1</v>
      </c>
      <c r="L32" s="13" t="s">
        <v>545</v>
      </c>
      <c r="M32" s="13">
        <v>8</v>
      </c>
      <c r="N32" s="13">
        <v>3</v>
      </c>
      <c r="O32" s="13" t="s">
        <v>545</v>
      </c>
      <c r="P32" s="13">
        <v>197</v>
      </c>
      <c r="Q32" s="13">
        <v>74</v>
      </c>
      <c r="R32" s="13" t="s">
        <v>545</v>
      </c>
      <c r="S32" s="13" t="s">
        <v>545</v>
      </c>
      <c r="T32" s="13" t="s">
        <v>545</v>
      </c>
      <c r="U32" s="13" t="s">
        <v>545</v>
      </c>
      <c r="V32" s="13">
        <v>50</v>
      </c>
      <c r="W32" s="13">
        <v>446</v>
      </c>
      <c r="X32" s="13">
        <v>570</v>
      </c>
      <c r="Y32" s="13">
        <v>483</v>
      </c>
      <c r="Z32" s="13">
        <v>249</v>
      </c>
      <c r="AA32" s="13">
        <v>242</v>
      </c>
      <c r="AB32" s="13">
        <v>803</v>
      </c>
      <c r="AC32" s="13" t="s">
        <v>632</v>
      </c>
      <c r="AD32" s="13">
        <v>3</v>
      </c>
      <c r="AE32" s="13">
        <v>504</v>
      </c>
      <c r="AF32" s="13" t="s">
        <v>545</v>
      </c>
      <c r="AG32" s="13">
        <v>840</v>
      </c>
      <c r="AH32" s="13">
        <v>620</v>
      </c>
      <c r="AI32" s="13">
        <v>177</v>
      </c>
      <c r="AJ32" s="13">
        <v>1</v>
      </c>
      <c r="AK32" s="13" t="s">
        <v>545</v>
      </c>
      <c r="AL32" s="13">
        <v>2</v>
      </c>
      <c r="AM32" s="13">
        <v>382</v>
      </c>
      <c r="AN32" s="13">
        <v>282</v>
      </c>
      <c r="AO32" s="13">
        <v>4</v>
      </c>
      <c r="AP32" s="13">
        <v>508</v>
      </c>
      <c r="AQ32" s="13" t="s">
        <v>545</v>
      </c>
      <c r="AR32" s="13" t="s">
        <v>545</v>
      </c>
      <c r="AS32" s="13">
        <v>4</v>
      </c>
      <c r="AT32" s="13">
        <v>3</v>
      </c>
      <c r="AU32" s="13">
        <v>22</v>
      </c>
      <c r="AV32" s="13">
        <v>22</v>
      </c>
      <c r="AW32" s="13" t="s">
        <v>545</v>
      </c>
      <c r="AX32" s="13" t="s">
        <v>545</v>
      </c>
      <c r="AY32" s="13" t="s">
        <v>545</v>
      </c>
      <c r="AZ32" s="13" t="s">
        <v>545</v>
      </c>
      <c r="BA32" s="13" t="s">
        <v>545</v>
      </c>
      <c r="BB32" s="13" t="s">
        <v>545</v>
      </c>
      <c r="BC32" s="13">
        <v>1</v>
      </c>
      <c r="BD32" s="13" t="s">
        <v>545</v>
      </c>
      <c r="BE32" s="13">
        <v>2</v>
      </c>
      <c r="BF32" s="13">
        <v>154</v>
      </c>
      <c r="BG32" s="13" t="s">
        <v>545</v>
      </c>
      <c r="BH32" s="13">
        <v>135</v>
      </c>
      <c r="BI32" s="13" t="s">
        <v>545</v>
      </c>
      <c r="BJ32" s="13" t="s">
        <v>545</v>
      </c>
      <c r="BK32" s="13" t="s">
        <v>545</v>
      </c>
      <c r="BL32" s="13" t="s">
        <v>545</v>
      </c>
      <c r="BM32" s="13" t="s">
        <v>545</v>
      </c>
      <c r="BN32" s="13">
        <v>5</v>
      </c>
      <c r="BO32" s="13" t="s">
        <v>545</v>
      </c>
      <c r="BP32" s="13" t="s">
        <v>545</v>
      </c>
      <c r="BQ32" s="13" t="s">
        <v>545</v>
      </c>
      <c r="BR32" s="13">
        <v>31</v>
      </c>
      <c r="BS32" s="13">
        <v>30</v>
      </c>
      <c r="BT32" s="13" t="s">
        <v>545</v>
      </c>
      <c r="BU32" s="13" t="s">
        <v>545</v>
      </c>
      <c r="BV32" s="13" t="s">
        <v>545</v>
      </c>
      <c r="BW32" s="13">
        <v>4</v>
      </c>
      <c r="BX32" s="13">
        <v>2</v>
      </c>
      <c r="BY32" s="13">
        <v>5</v>
      </c>
      <c r="BZ32" s="13">
        <v>34</v>
      </c>
      <c r="CA32" s="13" t="s">
        <v>545</v>
      </c>
      <c r="CB32" s="13" t="s">
        <v>545</v>
      </c>
      <c r="CC32" s="13" t="s">
        <v>545</v>
      </c>
      <c r="CD32" s="13" t="s">
        <v>545</v>
      </c>
      <c r="CE32" s="13" t="s">
        <v>545</v>
      </c>
      <c r="CF32" s="13">
        <v>441</v>
      </c>
      <c r="CG32" s="13">
        <v>331</v>
      </c>
      <c r="CH32" s="13" t="s">
        <v>545</v>
      </c>
      <c r="CI32" s="13" t="s">
        <v>545</v>
      </c>
      <c r="CJ32" s="13" t="s">
        <v>545</v>
      </c>
      <c r="CK32" s="13" t="s">
        <v>545</v>
      </c>
      <c r="CL32" s="13" t="s">
        <v>545</v>
      </c>
      <c r="CM32" s="13" t="s">
        <v>545</v>
      </c>
      <c r="CN32" s="13" t="s">
        <v>545</v>
      </c>
      <c r="CO32" s="13">
        <v>109</v>
      </c>
      <c r="CP32" s="13" t="s">
        <v>545</v>
      </c>
      <c r="CQ32" s="13">
        <v>33</v>
      </c>
      <c r="CR32" s="13">
        <v>14</v>
      </c>
      <c r="CS32" s="13" t="s">
        <v>633</v>
      </c>
      <c r="CT32" s="13">
        <v>8</v>
      </c>
      <c r="CU32" s="13" t="s">
        <v>545</v>
      </c>
      <c r="CV32" s="13" t="s">
        <v>545</v>
      </c>
      <c r="CW32" s="13" t="s">
        <v>545</v>
      </c>
      <c r="CX32" s="13" t="s">
        <v>545</v>
      </c>
      <c r="CY32" s="13">
        <v>2</v>
      </c>
      <c r="CZ32" s="13" t="s">
        <v>545</v>
      </c>
      <c r="DA32" s="13">
        <v>10</v>
      </c>
      <c r="DB32" s="13" t="s">
        <v>545</v>
      </c>
      <c r="DC32" s="32" t="s">
        <v>634</v>
      </c>
    </row>
    <row r="33" spans="1:107" ht="19">
      <c r="A33" s="9" t="s">
        <v>168</v>
      </c>
      <c r="B33" s="9" t="s">
        <v>169</v>
      </c>
      <c r="C33" s="13">
        <v>817</v>
      </c>
      <c r="D33" s="13" t="s">
        <v>545</v>
      </c>
      <c r="E33" s="13" t="s">
        <v>545</v>
      </c>
      <c r="F33" s="13" t="s">
        <v>545</v>
      </c>
      <c r="G33" s="13" t="s">
        <v>545</v>
      </c>
      <c r="H33" s="13">
        <v>15</v>
      </c>
      <c r="I33" s="13" t="s">
        <v>545</v>
      </c>
      <c r="J33" s="13">
        <v>1</v>
      </c>
      <c r="K33" s="13">
        <v>1</v>
      </c>
      <c r="L33" s="13" t="s">
        <v>545</v>
      </c>
      <c r="M33" s="13" t="s">
        <v>545</v>
      </c>
      <c r="N33" s="13">
        <v>1</v>
      </c>
      <c r="O33" s="13">
        <v>2</v>
      </c>
      <c r="P33" s="13">
        <v>4</v>
      </c>
      <c r="Q33" s="13" t="s">
        <v>545</v>
      </c>
      <c r="R33" s="13">
        <v>27</v>
      </c>
      <c r="S33" s="13">
        <v>26</v>
      </c>
      <c r="T33" s="13">
        <v>2</v>
      </c>
      <c r="U33" s="13" t="s">
        <v>545</v>
      </c>
      <c r="V33" s="13" t="s">
        <v>545</v>
      </c>
      <c r="W33" s="13" t="s">
        <v>545</v>
      </c>
      <c r="X33" s="13">
        <v>27</v>
      </c>
      <c r="Y33" s="13" t="s">
        <v>545</v>
      </c>
      <c r="Z33" s="13" t="s">
        <v>545</v>
      </c>
      <c r="AA33" s="13">
        <v>209</v>
      </c>
      <c r="AB33" s="13">
        <v>71</v>
      </c>
      <c r="AC33" s="13">
        <v>20</v>
      </c>
      <c r="AD33" s="13" t="s">
        <v>635</v>
      </c>
      <c r="AE33" s="13" t="s">
        <v>636</v>
      </c>
      <c r="AF33" s="13">
        <v>147</v>
      </c>
      <c r="AG33" s="13">
        <v>56</v>
      </c>
      <c r="AH33" s="13">
        <v>85</v>
      </c>
      <c r="AI33" s="13">
        <v>10</v>
      </c>
      <c r="AJ33" s="13">
        <v>211</v>
      </c>
      <c r="AK33" s="13">
        <v>18</v>
      </c>
      <c r="AL33" s="13">
        <v>6</v>
      </c>
      <c r="AM33" s="13">
        <v>147</v>
      </c>
      <c r="AN33" s="13">
        <v>39</v>
      </c>
      <c r="AO33" s="13">
        <v>7</v>
      </c>
      <c r="AP33" s="13" t="s">
        <v>545</v>
      </c>
      <c r="AQ33" s="13">
        <v>20</v>
      </c>
      <c r="AR33" s="13" t="s">
        <v>545</v>
      </c>
      <c r="AS33" s="13" t="s">
        <v>545</v>
      </c>
      <c r="AT33" s="13" t="s">
        <v>545</v>
      </c>
      <c r="AU33" s="13" t="s">
        <v>545</v>
      </c>
      <c r="AV33" s="13">
        <v>7</v>
      </c>
      <c r="AW33" s="13" t="s">
        <v>545</v>
      </c>
      <c r="AX33" s="13" t="s">
        <v>545</v>
      </c>
      <c r="AY33" s="13">
        <v>8</v>
      </c>
      <c r="AZ33" s="13">
        <v>760</v>
      </c>
      <c r="BA33" s="13" t="s">
        <v>545</v>
      </c>
      <c r="BB33" s="13">
        <v>127</v>
      </c>
      <c r="BC33" s="13" t="s">
        <v>545</v>
      </c>
      <c r="BD33" s="13">
        <v>1</v>
      </c>
      <c r="BE33" s="13" t="s">
        <v>545</v>
      </c>
      <c r="BF33" s="13">
        <v>1</v>
      </c>
      <c r="BG33" s="13" t="s">
        <v>545</v>
      </c>
      <c r="BH33" s="13" t="s">
        <v>545</v>
      </c>
      <c r="BI33" s="13" t="s">
        <v>545</v>
      </c>
      <c r="BJ33" s="13" t="s">
        <v>545</v>
      </c>
      <c r="BK33" s="13" t="s">
        <v>545</v>
      </c>
      <c r="BL33" s="13" t="s">
        <v>545</v>
      </c>
      <c r="BM33" s="13" t="s">
        <v>545</v>
      </c>
      <c r="BN33" s="13" t="s">
        <v>545</v>
      </c>
      <c r="BO33" s="13" t="s">
        <v>545</v>
      </c>
      <c r="BP33" s="13" t="s">
        <v>545</v>
      </c>
      <c r="BQ33" s="13" t="s">
        <v>545</v>
      </c>
      <c r="BR33" s="13" t="s">
        <v>545</v>
      </c>
      <c r="BS33" s="13" t="s">
        <v>545</v>
      </c>
      <c r="BT33" s="13" t="s">
        <v>545</v>
      </c>
      <c r="BU33" s="13" t="s">
        <v>545</v>
      </c>
      <c r="BV33" s="13" t="s">
        <v>545</v>
      </c>
      <c r="BW33" s="13">
        <v>7</v>
      </c>
      <c r="BX33" s="13">
        <v>3</v>
      </c>
      <c r="BY33" s="13" t="s">
        <v>545</v>
      </c>
      <c r="BZ33" s="13">
        <v>48</v>
      </c>
      <c r="CA33" s="13" t="s">
        <v>545</v>
      </c>
      <c r="CB33" s="13" t="s">
        <v>545</v>
      </c>
      <c r="CC33" s="13" t="s">
        <v>545</v>
      </c>
      <c r="CD33" s="13" t="s">
        <v>545</v>
      </c>
      <c r="CE33" s="13" t="s">
        <v>545</v>
      </c>
      <c r="CF33" s="13" t="s">
        <v>545</v>
      </c>
      <c r="CG33" s="13">
        <v>78</v>
      </c>
      <c r="CH33" s="13" t="s">
        <v>545</v>
      </c>
      <c r="CI33" s="13" t="s">
        <v>545</v>
      </c>
      <c r="CJ33" s="13" t="s">
        <v>545</v>
      </c>
      <c r="CK33" s="13" t="s">
        <v>545</v>
      </c>
      <c r="CL33" s="13" t="s">
        <v>545</v>
      </c>
      <c r="CM33" s="13" t="s">
        <v>545</v>
      </c>
      <c r="CN33" s="13" t="s">
        <v>545</v>
      </c>
      <c r="CO33" s="13" t="s">
        <v>545</v>
      </c>
      <c r="CP33" s="13" t="s">
        <v>545</v>
      </c>
      <c r="CQ33" s="13">
        <v>21</v>
      </c>
      <c r="CR33" s="13" t="s">
        <v>545</v>
      </c>
      <c r="CS33" s="13">
        <v>404</v>
      </c>
      <c r="CT33" s="13" t="s">
        <v>545</v>
      </c>
      <c r="CU33" s="13">
        <v>11</v>
      </c>
      <c r="CV33" s="13" t="s">
        <v>545</v>
      </c>
      <c r="CW33" s="13" t="s">
        <v>545</v>
      </c>
      <c r="CX33" s="13" t="s">
        <v>545</v>
      </c>
      <c r="CY33" s="13">
        <v>6</v>
      </c>
      <c r="CZ33" s="13">
        <v>8</v>
      </c>
      <c r="DA33" s="13" t="s">
        <v>545</v>
      </c>
      <c r="DB33" s="13" t="s">
        <v>545</v>
      </c>
      <c r="DC33" s="32" t="s">
        <v>637</v>
      </c>
    </row>
    <row r="34" spans="1:107" ht="19">
      <c r="A34" s="14" t="s">
        <v>170</v>
      </c>
      <c r="B34" s="14" t="s">
        <v>171</v>
      </c>
      <c r="C34" s="15" t="s">
        <v>545</v>
      </c>
      <c r="D34" s="15" t="s">
        <v>545</v>
      </c>
      <c r="E34" s="15" t="s">
        <v>545</v>
      </c>
      <c r="F34" s="15" t="s">
        <v>545</v>
      </c>
      <c r="G34" s="15" t="s">
        <v>545</v>
      </c>
      <c r="H34" s="15">
        <v>76</v>
      </c>
      <c r="I34" s="15" t="s">
        <v>545</v>
      </c>
      <c r="J34" s="15" t="s">
        <v>545</v>
      </c>
      <c r="K34" s="15" t="s">
        <v>545</v>
      </c>
      <c r="L34" s="15" t="s">
        <v>545</v>
      </c>
      <c r="M34" s="15" t="s">
        <v>545</v>
      </c>
      <c r="N34" s="15" t="s">
        <v>545</v>
      </c>
      <c r="O34" s="15" t="s">
        <v>545</v>
      </c>
      <c r="P34" s="15" t="s">
        <v>545</v>
      </c>
      <c r="Q34" s="15" t="s">
        <v>545</v>
      </c>
      <c r="R34" s="15" t="s">
        <v>545</v>
      </c>
      <c r="S34" s="15">
        <v>311</v>
      </c>
      <c r="T34" s="15">
        <v>511</v>
      </c>
      <c r="U34" s="15" t="s">
        <v>545</v>
      </c>
      <c r="V34" s="15">
        <v>16</v>
      </c>
      <c r="W34" s="15">
        <v>46</v>
      </c>
      <c r="X34" s="15">
        <v>231</v>
      </c>
      <c r="Y34" s="15" t="s">
        <v>545</v>
      </c>
      <c r="Z34" s="15">
        <v>752</v>
      </c>
      <c r="AA34" s="15">
        <v>360</v>
      </c>
      <c r="AB34" s="15">
        <v>96</v>
      </c>
      <c r="AC34" s="15">
        <v>805</v>
      </c>
      <c r="AD34" s="15">
        <v>396</v>
      </c>
      <c r="AE34" s="15" t="s">
        <v>638</v>
      </c>
      <c r="AF34" s="15">
        <v>274</v>
      </c>
      <c r="AG34" s="15" t="s">
        <v>639</v>
      </c>
      <c r="AH34" s="15" t="s">
        <v>640</v>
      </c>
      <c r="AI34" s="15">
        <v>469</v>
      </c>
      <c r="AJ34" s="15">
        <v>160</v>
      </c>
      <c r="AK34" s="15">
        <v>19</v>
      </c>
      <c r="AL34" s="15">
        <v>17</v>
      </c>
      <c r="AM34" s="15">
        <v>38</v>
      </c>
      <c r="AN34" s="15">
        <v>147</v>
      </c>
      <c r="AO34" s="15">
        <v>253</v>
      </c>
      <c r="AP34" s="15" t="s">
        <v>545</v>
      </c>
      <c r="AQ34" s="15" t="s">
        <v>641</v>
      </c>
      <c r="AR34" s="15">
        <v>39</v>
      </c>
      <c r="AS34" s="15">
        <v>82</v>
      </c>
      <c r="AT34" s="15" t="s">
        <v>545</v>
      </c>
      <c r="AU34" s="15">
        <v>87</v>
      </c>
      <c r="AV34" s="15">
        <v>297</v>
      </c>
      <c r="AW34" s="15">
        <v>1</v>
      </c>
      <c r="AX34" s="15" t="s">
        <v>545</v>
      </c>
      <c r="AY34" s="15" t="s">
        <v>545</v>
      </c>
      <c r="AZ34" s="15" t="s">
        <v>545</v>
      </c>
      <c r="BA34" s="15" t="s">
        <v>545</v>
      </c>
      <c r="BB34" s="15">
        <v>103</v>
      </c>
      <c r="BC34" s="15">
        <v>27</v>
      </c>
      <c r="BD34" s="15">
        <v>8</v>
      </c>
      <c r="BE34" s="15" t="s">
        <v>545</v>
      </c>
      <c r="BF34" s="15">
        <v>1</v>
      </c>
      <c r="BG34" s="15" t="s">
        <v>545</v>
      </c>
      <c r="BH34" s="15">
        <v>99</v>
      </c>
      <c r="BI34" s="15" t="s">
        <v>545</v>
      </c>
      <c r="BJ34" s="15" t="s">
        <v>545</v>
      </c>
      <c r="BK34" s="15" t="s">
        <v>545</v>
      </c>
      <c r="BL34" s="15" t="s">
        <v>545</v>
      </c>
      <c r="BM34" s="15" t="s">
        <v>545</v>
      </c>
      <c r="BN34" s="15">
        <v>4</v>
      </c>
      <c r="BO34" s="15" t="s">
        <v>545</v>
      </c>
      <c r="BP34" s="15" t="s">
        <v>545</v>
      </c>
      <c r="BQ34" s="15">
        <v>1</v>
      </c>
      <c r="BR34" s="15" t="s">
        <v>545</v>
      </c>
      <c r="BS34" s="15" t="s">
        <v>545</v>
      </c>
      <c r="BT34" s="15" t="s">
        <v>545</v>
      </c>
      <c r="BU34" s="15">
        <v>8</v>
      </c>
      <c r="BV34" s="15" t="s">
        <v>545</v>
      </c>
      <c r="BW34" s="15">
        <v>8</v>
      </c>
      <c r="BX34" s="15">
        <v>1</v>
      </c>
      <c r="BY34" s="15">
        <v>1</v>
      </c>
      <c r="BZ34" s="15">
        <v>44</v>
      </c>
      <c r="CA34" s="15" t="s">
        <v>545</v>
      </c>
      <c r="CB34" s="15" t="s">
        <v>545</v>
      </c>
      <c r="CC34" s="15" t="s">
        <v>545</v>
      </c>
      <c r="CD34" s="15" t="s">
        <v>545</v>
      </c>
      <c r="CE34" s="15" t="s">
        <v>545</v>
      </c>
      <c r="CF34" s="15">
        <v>865</v>
      </c>
      <c r="CG34" s="15">
        <v>849</v>
      </c>
      <c r="CH34" s="15" t="s">
        <v>545</v>
      </c>
      <c r="CI34" s="15" t="s">
        <v>545</v>
      </c>
      <c r="CJ34" s="15" t="s">
        <v>545</v>
      </c>
      <c r="CK34" s="15" t="s">
        <v>545</v>
      </c>
      <c r="CL34" s="15" t="s">
        <v>545</v>
      </c>
      <c r="CM34" s="15" t="s">
        <v>545</v>
      </c>
      <c r="CN34" s="15" t="s">
        <v>545</v>
      </c>
      <c r="CO34" s="15" t="s">
        <v>545</v>
      </c>
      <c r="CP34" s="15" t="s">
        <v>545</v>
      </c>
      <c r="CQ34" s="15">
        <v>49</v>
      </c>
      <c r="CR34" s="15">
        <v>11</v>
      </c>
      <c r="CS34" s="15" t="s">
        <v>545</v>
      </c>
      <c r="CT34" s="15" t="s">
        <v>545</v>
      </c>
      <c r="CU34" s="15" t="s">
        <v>545</v>
      </c>
      <c r="CV34" s="15" t="s">
        <v>545</v>
      </c>
      <c r="CW34" s="15" t="s">
        <v>545</v>
      </c>
      <c r="CX34" s="15" t="s">
        <v>545</v>
      </c>
      <c r="CY34" s="15" t="s">
        <v>545</v>
      </c>
      <c r="CZ34" s="15">
        <v>5</v>
      </c>
      <c r="DA34" s="15" t="s">
        <v>545</v>
      </c>
      <c r="DB34" s="15" t="s">
        <v>545</v>
      </c>
      <c r="DC34" s="34" t="s">
        <v>642</v>
      </c>
    </row>
    <row r="35" spans="1:107" ht="19">
      <c r="A35" s="9" t="s">
        <v>172</v>
      </c>
      <c r="B35" s="9" t="s">
        <v>173</v>
      </c>
      <c r="C35" s="13" t="s">
        <v>643</v>
      </c>
      <c r="D35" s="13" t="s">
        <v>545</v>
      </c>
      <c r="E35" s="13" t="s">
        <v>545</v>
      </c>
      <c r="F35" s="13" t="s">
        <v>545</v>
      </c>
      <c r="G35" s="13" t="s">
        <v>545</v>
      </c>
      <c r="H35" s="13" t="s">
        <v>545</v>
      </c>
      <c r="I35" s="13" t="s">
        <v>545</v>
      </c>
      <c r="J35" s="13" t="s">
        <v>545</v>
      </c>
      <c r="K35" s="13" t="s">
        <v>545</v>
      </c>
      <c r="L35" s="13" t="s">
        <v>545</v>
      </c>
      <c r="M35" s="13" t="s">
        <v>545</v>
      </c>
      <c r="N35" s="13" t="s">
        <v>545</v>
      </c>
      <c r="O35" s="13" t="s">
        <v>545</v>
      </c>
      <c r="P35" s="13" t="s">
        <v>545</v>
      </c>
      <c r="Q35" s="13" t="s">
        <v>545</v>
      </c>
      <c r="R35" s="13" t="s">
        <v>545</v>
      </c>
      <c r="S35" s="13" t="s">
        <v>545</v>
      </c>
      <c r="T35" s="13">
        <v>15</v>
      </c>
      <c r="U35" s="13" t="s">
        <v>545</v>
      </c>
      <c r="V35" s="13" t="s">
        <v>545</v>
      </c>
      <c r="W35" s="13" t="s">
        <v>545</v>
      </c>
      <c r="X35" s="13">
        <v>76</v>
      </c>
      <c r="Y35" s="13" t="s">
        <v>545</v>
      </c>
      <c r="Z35" s="13" t="s">
        <v>545</v>
      </c>
      <c r="AA35" s="13">
        <v>305</v>
      </c>
      <c r="AB35" s="13">
        <v>10</v>
      </c>
      <c r="AC35" s="13">
        <v>59</v>
      </c>
      <c r="AD35" s="13">
        <v>32</v>
      </c>
      <c r="AE35" s="13">
        <v>77</v>
      </c>
      <c r="AF35" s="13">
        <v>438</v>
      </c>
      <c r="AG35" s="13" t="s">
        <v>545</v>
      </c>
      <c r="AH35" s="13">
        <v>100</v>
      </c>
      <c r="AI35" s="13">
        <v>32</v>
      </c>
      <c r="AJ35" s="13" t="s">
        <v>545</v>
      </c>
      <c r="AK35" s="13" t="s">
        <v>545</v>
      </c>
      <c r="AL35" s="13" t="s">
        <v>545</v>
      </c>
      <c r="AM35" s="13" t="s">
        <v>545</v>
      </c>
      <c r="AN35" s="13" t="s">
        <v>545</v>
      </c>
      <c r="AO35" s="13">
        <v>2</v>
      </c>
      <c r="AP35" s="13" t="s">
        <v>545</v>
      </c>
      <c r="AQ35" s="13" t="s">
        <v>545</v>
      </c>
      <c r="AR35" s="13" t="s">
        <v>545</v>
      </c>
      <c r="AS35" s="13" t="s">
        <v>545</v>
      </c>
      <c r="AT35" s="13" t="s">
        <v>545</v>
      </c>
      <c r="AU35" s="13" t="s">
        <v>545</v>
      </c>
      <c r="AV35" s="13">
        <v>27</v>
      </c>
      <c r="AW35" s="13" t="s">
        <v>545</v>
      </c>
      <c r="AX35" s="13" t="s">
        <v>545</v>
      </c>
      <c r="AY35" s="13" t="s">
        <v>545</v>
      </c>
      <c r="AZ35" s="13" t="s">
        <v>545</v>
      </c>
      <c r="BA35" s="13" t="s">
        <v>545</v>
      </c>
      <c r="BB35" s="13">
        <v>9</v>
      </c>
      <c r="BC35" s="13" t="s">
        <v>545</v>
      </c>
      <c r="BD35" s="13" t="s">
        <v>545</v>
      </c>
      <c r="BE35" s="13" t="s">
        <v>545</v>
      </c>
      <c r="BF35" s="13">
        <v>1</v>
      </c>
      <c r="BG35" s="13" t="s">
        <v>545</v>
      </c>
      <c r="BH35" s="13" t="s">
        <v>545</v>
      </c>
      <c r="BI35" s="13" t="s">
        <v>545</v>
      </c>
      <c r="BJ35" s="13" t="s">
        <v>545</v>
      </c>
      <c r="BK35" s="13" t="s">
        <v>545</v>
      </c>
      <c r="BL35" s="13" t="s">
        <v>545</v>
      </c>
      <c r="BM35" s="13" t="s">
        <v>545</v>
      </c>
      <c r="BN35" s="13" t="s">
        <v>545</v>
      </c>
      <c r="BO35" s="13" t="s">
        <v>545</v>
      </c>
      <c r="BP35" s="13" t="s">
        <v>545</v>
      </c>
      <c r="BQ35" s="13" t="s">
        <v>545</v>
      </c>
      <c r="BR35" s="13" t="s">
        <v>545</v>
      </c>
      <c r="BS35" s="13">
        <v>10</v>
      </c>
      <c r="BT35" s="13" t="s">
        <v>545</v>
      </c>
      <c r="BU35" s="13">
        <v>6</v>
      </c>
      <c r="BV35" s="13" t="s">
        <v>545</v>
      </c>
      <c r="BW35" s="13">
        <v>5</v>
      </c>
      <c r="BX35" s="13">
        <v>2</v>
      </c>
      <c r="BY35" s="13" t="s">
        <v>545</v>
      </c>
      <c r="BZ35" s="13">
        <v>48</v>
      </c>
      <c r="CA35" s="13" t="s">
        <v>545</v>
      </c>
      <c r="CB35" s="13" t="s">
        <v>545</v>
      </c>
      <c r="CC35" s="13" t="s">
        <v>545</v>
      </c>
      <c r="CD35" s="13" t="s">
        <v>545</v>
      </c>
      <c r="CE35" s="13" t="s">
        <v>545</v>
      </c>
      <c r="CF35" s="13" t="s">
        <v>545</v>
      </c>
      <c r="CG35" s="13">
        <v>4</v>
      </c>
      <c r="CH35" s="13" t="s">
        <v>545</v>
      </c>
      <c r="CI35" s="13" t="s">
        <v>545</v>
      </c>
      <c r="CJ35" s="13" t="s">
        <v>545</v>
      </c>
      <c r="CK35" s="13" t="s">
        <v>545</v>
      </c>
      <c r="CL35" s="13" t="s">
        <v>545</v>
      </c>
      <c r="CM35" s="13" t="s">
        <v>545</v>
      </c>
      <c r="CN35" s="13" t="s">
        <v>545</v>
      </c>
      <c r="CO35" s="13" t="s">
        <v>545</v>
      </c>
      <c r="CP35" s="13" t="s">
        <v>545</v>
      </c>
      <c r="CQ35" s="13">
        <v>52</v>
      </c>
      <c r="CR35" s="13">
        <v>4</v>
      </c>
      <c r="CS35" s="13">
        <v>1</v>
      </c>
      <c r="CT35" s="13" t="s">
        <v>545</v>
      </c>
      <c r="CU35" s="13" t="s">
        <v>545</v>
      </c>
      <c r="CV35" s="13">
        <v>3</v>
      </c>
      <c r="CW35" s="13" t="s">
        <v>545</v>
      </c>
      <c r="CX35" s="13" t="s">
        <v>545</v>
      </c>
      <c r="CY35" s="13" t="s">
        <v>545</v>
      </c>
      <c r="CZ35" s="13" t="s">
        <v>545</v>
      </c>
      <c r="DA35" s="13" t="s">
        <v>545</v>
      </c>
      <c r="DB35" s="13" t="s">
        <v>545</v>
      </c>
      <c r="DC35" s="32" t="s">
        <v>644</v>
      </c>
    </row>
    <row r="36" spans="1:107" ht="19">
      <c r="A36" s="9" t="s">
        <v>174</v>
      </c>
      <c r="B36" s="9" t="s">
        <v>175</v>
      </c>
      <c r="C36" s="13">
        <v>265</v>
      </c>
      <c r="D36" s="13" t="s">
        <v>545</v>
      </c>
      <c r="E36" s="13" t="s">
        <v>545</v>
      </c>
      <c r="F36" s="13" t="s">
        <v>545</v>
      </c>
      <c r="G36" s="13" t="s">
        <v>545</v>
      </c>
      <c r="H36" s="13" t="s">
        <v>545</v>
      </c>
      <c r="I36" s="13" t="s">
        <v>545</v>
      </c>
      <c r="J36" s="13" t="s">
        <v>545</v>
      </c>
      <c r="K36" s="13" t="s">
        <v>545</v>
      </c>
      <c r="L36" s="13" t="s">
        <v>545</v>
      </c>
      <c r="M36" s="13" t="s">
        <v>545</v>
      </c>
      <c r="N36" s="13">
        <v>3</v>
      </c>
      <c r="O36" s="13" t="s">
        <v>545</v>
      </c>
      <c r="P36" s="13" t="s">
        <v>545</v>
      </c>
      <c r="Q36" s="13">
        <v>35</v>
      </c>
      <c r="R36" s="13" t="s">
        <v>545</v>
      </c>
      <c r="S36" s="13" t="s">
        <v>545</v>
      </c>
      <c r="T36" s="13" t="s">
        <v>545</v>
      </c>
      <c r="U36" s="13" t="s">
        <v>545</v>
      </c>
      <c r="V36" s="13" t="s">
        <v>545</v>
      </c>
      <c r="W36" s="13" t="s">
        <v>545</v>
      </c>
      <c r="X36" s="13" t="s">
        <v>545</v>
      </c>
      <c r="Y36" s="13" t="s">
        <v>545</v>
      </c>
      <c r="Z36" s="13" t="s">
        <v>545</v>
      </c>
      <c r="AA36" s="13" t="s">
        <v>545</v>
      </c>
      <c r="AB36" s="13">
        <v>29</v>
      </c>
      <c r="AC36" s="13" t="s">
        <v>545</v>
      </c>
      <c r="AD36" s="13" t="s">
        <v>545</v>
      </c>
      <c r="AE36" s="13" t="s">
        <v>545</v>
      </c>
      <c r="AF36" s="13" t="s">
        <v>545</v>
      </c>
      <c r="AG36" s="13" t="s">
        <v>645</v>
      </c>
      <c r="AH36" s="13" t="s">
        <v>545</v>
      </c>
      <c r="AI36" s="13" t="s">
        <v>545</v>
      </c>
      <c r="AJ36" s="13" t="s">
        <v>545</v>
      </c>
      <c r="AK36" s="13" t="s">
        <v>545</v>
      </c>
      <c r="AL36" s="13" t="s">
        <v>545</v>
      </c>
      <c r="AM36" s="13" t="s">
        <v>545</v>
      </c>
      <c r="AN36" s="13" t="s">
        <v>545</v>
      </c>
      <c r="AO36" s="13" t="s">
        <v>545</v>
      </c>
      <c r="AP36" s="13">
        <v>133</v>
      </c>
      <c r="AQ36" s="13" t="s">
        <v>545</v>
      </c>
      <c r="AR36" s="13" t="s">
        <v>545</v>
      </c>
      <c r="AS36" s="13" t="s">
        <v>545</v>
      </c>
      <c r="AT36" s="13" t="s">
        <v>545</v>
      </c>
      <c r="AU36" s="13" t="s">
        <v>545</v>
      </c>
      <c r="AV36" s="13">
        <v>170</v>
      </c>
      <c r="AW36" s="13" t="s">
        <v>545</v>
      </c>
      <c r="AX36" s="13" t="s">
        <v>545</v>
      </c>
      <c r="AY36" s="13" t="s">
        <v>545</v>
      </c>
      <c r="AZ36" s="13">
        <v>28</v>
      </c>
      <c r="BA36" s="13" t="s">
        <v>545</v>
      </c>
      <c r="BB36" s="13" t="s">
        <v>545</v>
      </c>
      <c r="BC36" s="13" t="s">
        <v>545</v>
      </c>
      <c r="BD36" s="13" t="s">
        <v>545</v>
      </c>
      <c r="BE36" s="13" t="s">
        <v>545</v>
      </c>
      <c r="BF36" s="13" t="s">
        <v>545</v>
      </c>
      <c r="BG36" s="13" t="s">
        <v>545</v>
      </c>
      <c r="BH36" s="13" t="s">
        <v>545</v>
      </c>
      <c r="BI36" s="13" t="s">
        <v>545</v>
      </c>
      <c r="BJ36" s="13" t="s">
        <v>545</v>
      </c>
      <c r="BK36" s="13" t="s">
        <v>545</v>
      </c>
      <c r="BL36" s="13" t="s">
        <v>545</v>
      </c>
      <c r="BM36" s="13" t="s">
        <v>545</v>
      </c>
      <c r="BN36" s="13" t="s">
        <v>545</v>
      </c>
      <c r="BO36" s="13" t="s">
        <v>545</v>
      </c>
      <c r="BP36" s="13" t="s">
        <v>545</v>
      </c>
      <c r="BQ36" s="13" t="s">
        <v>545</v>
      </c>
      <c r="BR36" s="13" t="s">
        <v>545</v>
      </c>
      <c r="BS36" s="13" t="s">
        <v>545</v>
      </c>
      <c r="BT36" s="13" t="s">
        <v>545</v>
      </c>
      <c r="BU36" s="13" t="s">
        <v>545</v>
      </c>
      <c r="BV36" s="13" t="s">
        <v>545</v>
      </c>
      <c r="BW36" s="13" t="s">
        <v>545</v>
      </c>
      <c r="BX36" s="13" t="s">
        <v>545</v>
      </c>
      <c r="BY36" s="13">
        <v>1</v>
      </c>
      <c r="BZ36" s="13">
        <v>37</v>
      </c>
      <c r="CA36" s="13" t="s">
        <v>545</v>
      </c>
      <c r="CB36" s="13" t="s">
        <v>545</v>
      </c>
      <c r="CC36" s="13" t="s">
        <v>545</v>
      </c>
      <c r="CD36" s="13" t="s">
        <v>545</v>
      </c>
      <c r="CE36" s="13" t="s">
        <v>545</v>
      </c>
      <c r="CF36" s="13" t="s">
        <v>545</v>
      </c>
      <c r="CG36" s="13" t="s">
        <v>646</v>
      </c>
      <c r="CH36" s="13" t="s">
        <v>545</v>
      </c>
      <c r="CI36" s="13" t="s">
        <v>545</v>
      </c>
      <c r="CJ36" s="13" t="s">
        <v>647</v>
      </c>
      <c r="CK36" s="13" t="s">
        <v>545</v>
      </c>
      <c r="CL36" s="13" t="s">
        <v>545</v>
      </c>
      <c r="CM36" s="13" t="s">
        <v>545</v>
      </c>
      <c r="CN36" s="13" t="s">
        <v>545</v>
      </c>
      <c r="CO36" s="13" t="s">
        <v>545</v>
      </c>
      <c r="CP36" s="13" t="s">
        <v>545</v>
      </c>
      <c r="CQ36" s="13">
        <v>331</v>
      </c>
      <c r="CR36" s="13">
        <v>31</v>
      </c>
      <c r="CS36" s="13" t="s">
        <v>648</v>
      </c>
      <c r="CT36" s="13">
        <v>46</v>
      </c>
      <c r="CU36" s="13" t="s">
        <v>545</v>
      </c>
      <c r="CV36" s="13" t="s">
        <v>545</v>
      </c>
      <c r="CW36" s="13" t="s">
        <v>545</v>
      </c>
      <c r="CX36" s="13" t="s">
        <v>545</v>
      </c>
      <c r="CY36" s="13">
        <v>29</v>
      </c>
      <c r="CZ36" s="13" t="s">
        <v>545</v>
      </c>
      <c r="DA36" s="13" t="s">
        <v>545</v>
      </c>
      <c r="DB36" s="13" t="s">
        <v>545</v>
      </c>
      <c r="DC36" s="32" t="s">
        <v>649</v>
      </c>
    </row>
    <row r="37" spans="1:107" ht="19">
      <c r="A37" s="9" t="s">
        <v>176</v>
      </c>
      <c r="B37" s="9" t="s">
        <v>177</v>
      </c>
      <c r="C37" s="13">
        <v>907</v>
      </c>
      <c r="D37" s="13" t="s">
        <v>545</v>
      </c>
      <c r="E37" s="13">
        <v>8</v>
      </c>
      <c r="F37" s="13">
        <v>2</v>
      </c>
      <c r="G37" s="13" t="s">
        <v>545</v>
      </c>
      <c r="H37" s="13">
        <v>19</v>
      </c>
      <c r="I37" s="13" t="s">
        <v>545</v>
      </c>
      <c r="J37" s="13">
        <v>654</v>
      </c>
      <c r="K37" s="13">
        <v>291</v>
      </c>
      <c r="L37" s="13">
        <v>23</v>
      </c>
      <c r="M37" s="13">
        <v>666</v>
      </c>
      <c r="N37" s="13">
        <v>59</v>
      </c>
      <c r="O37" s="13">
        <v>584</v>
      </c>
      <c r="P37" s="13">
        <v>825</v>
      </c>
      <c r="Q37" s="13">
        <v>30</v>
      </c>
      <c r="R37" s="13">
        <v>51</v>
      </c>
      <c r="S37" s="13" t="s">
        <v>650</v>
      </c>
      <c r="T37" s="13">
        <v>150</v>
      </c>
      <c r="U37" s="13">
        <v>5</v>
      </c>
      <c r="V37" s="13">
        <v>3</v>
      </c>
      <c r="W37" s="13">
        <v>43</v>
      </c>
      <c r="X37" s="13">
        <v>587</v>
      </c>
      <c r="Y37" s="13">
        <v>298</v>
      </c>
      <c r="Z37" s="13">
        <v>25</v>
      </c>
      <c r="AA37" s="13">
        <v>148</v>
      </c>
      <c r="AB37" s="13">
        <v>733</v>
      </c>
      <c r="AC37" s="13">
        <v>112</v>
      </c>
      <c r="AD37" s="13">
        <v>47</v>
      </c>
      <c r="AE37" s="13">
        <v>24</v>
      </c>
      <c r="AF37" s="13" t="s">
        <v>545</v>
      </c>
      <c r="AG37" s="13">
        <v>409</v>
      </c>
      <c r="AH37" s="13" t="s">
        <v>651</v>
      </c>
      <c r="AI37" s="13">
        <v>59</v>
      </c>
      <c r="AJ37" s="13">
        <v>264</v>
      </c>
      <c r="AK37" s="13">
        <v>2</v>
      </c>
      <c r="AL37" s="13">
        <v>2</v>
      </c>
      <c r="AM37" s="13">
        <v>707</v>
      </c>
      <c r="AN37" s="13">
        <v>356</v>
      </c>
      <c r="AO37" s="13">
        <v>792</v>
      </c>
      <c r="AP37" s="13">
        <v>721</v>
      </c>
      <c r="AQ37" s="13" t="s">
        <v>652</v>
      </c>
      <c r="AR37" s="13">
        <v>45</v>
      </c>
      <c r="AS37" s="13">
        <v>114</v>
      </c>
      <c r="AT37" s="13">
        <v>34</v>
      </c>
      <c r="AU37" s="13">
        <v>196</v>
      </c>
      <c r="AV37" s="13">
        <v>430</v>
      </c>
      <c r="AW37" s="13">
        <v>1</v>
      </c>
      <c r="AX37" s="13" t="s">
        <v>545</v>
      </c>
      <c r="AY37" s="13">
        <v>346</v>
      </c>
      <c r="AZ37" s="13" t="s">
        <v>545</v>
      </c>
      <c r="BA37" s="13" t="s">
        <v>545</v>
      </c>
      <c r="BB37" s="13">
        <v>1</v>
      </c>
      <c r="BC37" s="13">
        <v>8</v>
      </c>
      <c r="BD37" s="13">
        <v>595</v>
      </c>
      <c r="BE37" s="13">
        <v>14</v>
      </c>
      <c r="BF37" s="13" t="s">
        <v>653</v>
      </c>
      <c r="BG37" s="13">
        <v>464</v>
      </c>
      <c r="BH37" s="13" t="s">
        <v>654</v>
      </c>
      <c r="BI37" s="13" t="s">
        <v>655</v>
      </c>
      <c r="BJ37" s="13">
        <v>11</v>
      </c>
      <c r="BK37" s="13">
        <v>484</v>
      </c>
      <c r="BL37" s="13" t="s">
        <v>545</v>
      </c>
      <c r="BM37" s="13" t="s">
        <v>545</v>
      </c>
      <c r="BN37" s="13">
        <v>453</v>
      </c>
      <c r="BO37" s="13" t="s">
        <v>545</v>
      </c>
      <c r="BP37" s="13" t="s">
        <v>545</v>
      </c>
      <c r="BQ37" s="13">
        <v>45</v>
      </c>
      <c r="BR37" s="13" t="s">
        <v>545</v>
      </c>
      <c r="BS37" s="13" t="s">
        <v>545</v>
      </c>
      <c r="BT37" s="13">
        <v>15</v>
      </c>
      <c r="BU37" s="13">
        <v>62</v>
      </c>
      <c r="BV37" s="13" t="s">
        <v>545</v>
      </c>
      <c r="BW37" s="13">
        <v>190</v>
      </c>
      <c r="BX37" s="13">
        <v>19</v>
      </c>
      <c r="BY37" s="13">
        <v>87</v>
      </c>
      <c r="BZ37" s="13">
        <v>40</v>
      </c>
      <c r="CA37" s="13">
        <v>12</v>
      </c>
      <c r="CB37" s="13" t="s">
        <v>545</v>
      </c>
      <c r="CC37" s="13">
        <v>1</v>
      </c>
      <c r="CD37" s="13" t="s">
        <v>545</v>
      </c>
      <c r="CE37" s="13">
        <v>2</v>
      </c>
      <c r="CF37" s="13" t="s">
        <v>545</v>
      </c>
      <c r="CG37" s="13">
        <v>22</v>
      </c>
      <c r="CH37" s="13" t="s">
        <v>545</v>
      </c>
      <c r="CI37" s="13" t="s">
        <v>545</v>
      </c>
      <c r="CJ37" s="13" t="s">
        <v>545</v>
      </c>
      <c r="CK37" s="13" t="s">
        <v>545</v>
      </c>
      <c r="CL37" s="13" t="s">
        <v>545</v>
      </c>
      <c r="CM37" s="13" t="s">
        <v>545</v>
      </c>
      <c r="CN37" s="13" t="s">
        <v>545</v>
      </c>
      <c r="CO37" s="13">
        <v>300</v>
      </c>
      <c r="CP37" s="13">
        <v>417</v>
      </c>
      <c r="CQ37" s="13">
        <v>220</v>
      </c>
      <c r="CR37" s="13">
        <v>137</v>
      </c>
      <c r="CS37" s="13">
        <v>636</v>
      </c>
      <c r="CT37" s="13">
        <v>94</v>
      </c>
      <c r="CU37" s="13">
        <v>149</v>
      </c>
      <c r="CV37" s="13" t="s">
        <v>545</v>
      </c>
      <c r="CW37" s="13" t="s">
        <v>545</v>
      </c>
      <c r="CX37" s="13">
        <v>4</v>
      </c>
      <c r="CY37" s="13">
        <v>25</v>
      </c>
      <c r="CZ37" s="13">
        <v>3</v>
      </c>
      <c r="DA37" s="13">
        <v>164</v>
      </c>
      <c r="DB37" s="13" t="s">
        <v>545</v>
      </c>
      <c r="DC37" s="32" t="s">
        <v>656</v>
      </c>
    </row>
    <row r="38" spans="1:107" ht="19">
      <c r="A38" s="9" t="s">
        <v>178</v>
      </c>
      <c r="B38" s="9" t="s">
        <v>179</v>
      </c>
      <c r="C38" s="13" t="s">
        <v>545</v>
      </c>
      <c r="D38" s="13" t="s">
        <v>545</v>
      </c>
      <c r="E38" s="13" t="s">
        <v>545</v>
      </c>
      <c r="F38" s="13" t="s">
        <v>545</v>
      </c>
      <c r="G38" s="13" t="s">
        <v>545</v>
      </c>
      <c r="H38" s="13">
        <v>388</v>
      </c>
      <c r="I38" s="13" t="s">
        <v>545</v>
      </c>
      <c r="J38" s="13" t="s">
        <v>545</v>
      </c>
      <c r="K38" s="13" t="s">
        <v>545</v>
      </c>
      <c r="L38" s="13" t="s">
        <v>545</v>
      </c>
      <c r="M38" s="13" t="s">
        <v>545</v>
      </c>
      <c r="N38" s="13" t="s">
        <v>545</v>
      </c>
      <c r="O38" s="13" t="s">
        <v>545</v>
      </c>
      <c r="P38" s="13" t="s">
        <v>545</v>
      </c>
      <c r="Q38" s="13" t="s">
        <v>545</v>
      </c>
      <c r="R38" s="13" t="s">
        <v>545</v>
      </c>
      <c r="S38" s="13" t="s">
        <v>545</v>
      </c>
      <c r="T38" s="13" t="s">
        <v>545</v>
      </c>
      <c r="U38" s="13" t="s">
        <v>545</v>
      </c>
      <c r="V38" s="13" t="s">
        <v>545</v>
      </c>
      <c r="W38" s="13">
        <v>4</v>
      </c>
      <c r="X38" s="13" t="s">
        <v>545</v>
      </c>
      <c r="Y38" s="13" t="s">
        <v>545</v>
      </c>
      <c r="Z38" s="13" t="s">
        <v>545</v>
      </c>
      <c r="AA38" s="13">
        <v>23</v>
      </c>
      <c r="AB38" s="13" t="s">
        <v>545</v>
      </c>
      <c r="AC38" s="13">
        <v>4</v>
      </c>
      <c r="AD38" s="13" t="s">
        <v>545</v>
      </c>
      <c r="AE38" s="13" t="s">
        <v>545</v>
      </c>
      <c r="AF38" s="13" t="s">
        <v>545</v>
      </c>
      <c r="AG38" s="13" t="s">
        <v>545</v>
      </c>
      <c r="AH38" s="13" t="s">
        <v>545</v>
      </c>
      <c r="AI38" s="13">
        <v>774</v>
      </c>
      <c r="AJ38" s="13">
        <v>275</v>
      </c>
      <c r="AK38" s="13" t="s">
        <v>545</v>
      </c>
      <c r="AL38" s="13" t="s">
        <v>545</v>
      </c>
      <c r="AM38" s="13">
        <v>160</v>
      </c>
      <c r="AN38" s="13" t="s">
        <v>545</v>
      </c>
      <c r="AO38" s="13" t="s">
        <v>545</v>
      </c>
      <c r="AP38" s="13" t="s">
        <v>545</v>
      </c>
      <c r="AQ38" s="13" t="s">
        <v>545</v>
      </c>
      <c r="AR38" s="13" t="s">
        <v>545</v>
      </c>
      <c r="AS38" s="13" t="s">
        <v>545</v>
      </c>
      <c r="AT38" s="13" t="s">
        <v>545</v>
      </c>
      <c r="AU38" s="13">
        <v>2</v>
      </c>
      <c r="AV38" s="13" t="s">
        <v>545</v>
      </c>
      <c r="AW38" s="13" t="s">
        <v>545</v>
      </c>
      <c r="AX38" s="13" t="s">
        <v>545</v>
      </c>
      <c r="AY38" s="13" t="s">
        <v>545</v>
      </c>
      <c r="AZ38" s="13" t="s">
        <v>545</v>
      </c>
      <c r="BA38" s="13" t="s">
        <v>545</v>
      </c>
      <c r="BB38" s="13">
        <v>4</v>
      </c>
      <c r="BC38" s="13">
        <v>7</v>
      </c>
      <c r="BD38" s="13">
        <v>39</v>
      </c>
      <c r="BE38" s="13" t="s">
        <v>545</v>
      </c>
      <c r="BF38" s="13" t="s">
        <v>657</v>
      </c>
      <c r="BG38" s="13" t="s">
        <v>545</v>
      </c>
      <c r="BH38" s="13">
        <v>329</v>
      </c>
      <c r="BI38" s="13" t="s">
        <v>545</v>
      </c>
      <c r="BJ38" s="13">
        <v>1</v>
      </c>
      <c r="BK38" s="13" t="s">
        <v>545</v>
      </c>
      <c r="BL38" s="13" t="s">
        <v>545</v>
      </c>
      <c r="BM38" s="13" t="s">
        <v>545</v>
      </c>
      <c r="BN38" s="13" t="s">
        <v>545</v>
      </c>
      <c r="BO38" s="13" t="s">
        <v>545</v>
      </c>
      <c r="BP38" s="13" t="s">
        <v>545</v>
      </c>
      <c r="BQ38" s="13" t="s">
        <v>545</v>
      </c>
      <c r="BR38" s="13" t="s">
        <v>545</v>
      </c>
      <c r="BS38" s="13" t="s">
        <v>545</v>
      </c>
      <c r="BT38" s="13" t="s">
        <v>545</v>
      </c>
      <c r="BU38" s="13" t="s">
        <v>545</v>
      </c>
      <c r="BV38" s="13" t="s">
        <v>545</v>
      </c>
      <c r="BW38" s="13" t="s">
        <v>545</v>
      </c>
      <c r="BX38" s="13">
        <v>1</v>
      </c>
      <c r="BY38" s="13">
        <v>2</v>
      </c>
      <c r="BZ38" s="13">
        <v>34</v>
      </c>
      <c r="CA38" s="13">
        <v>278</v>
      </c>
      <c r="CB38" s="13" t="s">
        <v>545</v>
      </c>
      <c r="CC38" s="13" t="s">
        <v>545</v>
      </c>
      <c r="CD38" s="13" t="s">
        <v>545</v>
      </c>
      <c r="CE38" s="13" t="s">
        <v>545</v>
      </c>
      <c r="CF38" s="13" t="s">
        <v>545</v>
      </c>
      <c r="CG38" s="13" t="s">
        <v>545</v>
      </c>
      <c r="CH38" s="13" t="s">
        <v>545</v>
      </c>
      <c r="CI38" s="13" t="s">
        <v>545</v>
      </c>
      <c r="CJ38" s="13" t="s">
        <v>545</v>
      </c>
      <c r="CK38" s="13" t="s">
        <v>545</v>
      </c>
      <c r="CL38" s="13" t="s">
        <v>545</v>
      </c>
      <c r="CM38" s="13" t="s">
        <v>545</v>
      </c>
      <c r="CN38" s="13" t="s">
        <v>545</v>
      </c>
      <c r="CO38" s="13" t="s">
        <v>545</v>
      </c>
      <c r="CP38" s="13" t="s">
        <v>545</v>
      </c>
      <c r="CQ38" s="13">
        <v>236</v>
      </c>
      <c r="CR38" s="13">
        <v>263</v>
      </c>
      <c r="CS38" s="13">
        <v>68</v>
      </c>
      <c r="CT38" s="13" t="s">
        <v>545</v>
      </c>
      <c r="CU38" s="13">
        <v>25</v>
      </c>
      <c r="CV38" s="13">
        <v>33</v>
      </c>
      <c r="CW38" s="13" t="s">
        <v>545</v>
      </c>
      <c r="CX38" s="13">
        <v>67</v>
      </c>
      <c r="CY38" s="13">
        <v>15</v>
      </c>
      <c r="CZ38" s="13" t="s">
        <v>545</v>
      </c>
      <c r="DA38" s="13" t="s">
        <v>545</v>
      </c>
      <c r="DB38" s="13" t="s">
        <v>545</v>
      </c>
      <c r="DC38" s="32" t="s">
        <v>658</v>
      </c>
    </row>
    <row r="39" spans="1:107" ht="19">
      <c r="A39" s="9" t="s">
        <v>180</v>
      </c>
      <c r="B39" s="9" t="s">
        <v>181</v>
      </c>
      <c r="C39" s="13" t="s">
        <v>545</v>
      </c>
      <c r="D39" s="13" t="s">
        <v>545</v>
      </c>
      <c r="E39" s="13" t="s">
        <v>545</v>
      </c>
      <c r="F39" s="13" t="s">
        <v>545</v>
      </c>
      <c r="G39" s="13" t="s">
        <v>545</v>
      </c>
      <c r="H39" s="13">
        <v>391</v>
      </c>
      <c r="I39" s="13" t="s">
        <v>545</v>
      </c>
      <c r="J39" s="13" t="s">
        <v>545</v>
      </c>
      <c r="K39" s="13">
        <v>2</v>
      </c>
      <c r="L39" s="13" t="s">
        <v>545</v>
      </c>
      <c r="M39" s="13">
        <v>1</v>
      </c>
      <c r="N39" s="13" t="s">
        <v>545</v>
      </c>
      <c r="O39" s="13" t="s">
        <v>545</v>
      </c>
      <c r="P39" s="13">
        <v>272</v>
      </c>
      <c r="Q39" s="13" t="s">
        <v>545</v>
      </c>
      <c r="R39" s="13">
        <v>674</v>
      </c>
      <c r="S39" s="13">
        <v>257</v>
      </c>
      <c r="T39" s="13">
        <v>2</v>
      </c>
      <c r="U39" s="13" t="s">
        <v>545</v>
      </c>
      <c r="V39" s="13" t="s">
        <v>545</v>
      </c>
      <c r="W39" s="13">
        <v>135</v>
      </c>
      <c r="X39" s="13" t="s">
        <v>545</v>
      </c>
      <c r="Y39" s="13" t="s">
        <v>545</v>
      </c>
      <c r="Z39" s="13" t="s">
        <v>545</v>
      </c>
      <c r="AA39" s="13" t="s">
        <v>545</v>
      </c>
      <c r="AB39" s="13">
        <v>80</v>
      </c>
      <c r="AC39" s="13" t="s">
        <v>545</v>
      </c>
      <c r="AD39" s="13" t="s">
        <v>545</v>
      </c>
      <c r="AE39" s="13">
        <v>5</v>
      </c>
      <c r="AF39" s="13" t="s">
        <v>545</v>
      </c>
      <c r="AG39" s="13">
        <v>19</v>
      </c>
      <c r="AH39" s="13">
        <v>286</v>
      </c>
      <c r="AI39" s="13">
        <v>18</v>
      </c>
      <c r="AJ39" s="13">
        <v>817</v>
      </c>
      <c r="AK39" s="13">
        <v>258</v>
      </c>
      <c r="AL39" s="13">
        <v>3</v>
      </c>
      <c r="AM39" s="13">
        <v>238</v>
      </c>
      <c r="AN39" s="13">
        <v>107</v>
      </c>
      <c r="AO39" s="13">
        <v>107</v>
      </c>
      <c r="AP39" s="13">
        <v>1</v>
      </c>
      <c r="AQ39" s="13" t="s">
        <v>659</v>
      </c>
      <c r="AR39" s="13">
        <v>89</v>
      </c>
      <c r="AS39" s="13">
        <v>2</v>
      </c>
      <c r="AT39" s="13" t="s">
        <v>545</v>
      </c>
      <c r="AU39" s="13" t="s">
        <v>545</v>
      </c>
      <c r="AV39" s="13">
        <v>3</v>
      </c>
      <c r="AW39" s="13">
        <v>1</v>
      </c>
      <c r="AX39" s="13" t="s">
        <v>545</v>
      </c>
      <c r="AY39" s="13">
        <v>1</v>
      </c>
      <c r="AZ39" s="13" t="s">
        <v>545</v>
      </c>
      <c r="BA39" s="13" t="s">
        <v>545</v>
      </c>
      <c r="BB39" s="13" t="s">
        <v>545</v>
      </c>
      <c r="BC39" s="13" t="s">
        <v>545</v>
      </c>
      <c r="BD39" s="13">
        <v>45</v>
      </c>
      <c r="BE39" s="13" t="s">
        <v>545</v>
      </c>
      <c r="BF39" s="13" t="s">
        <v>660</v>
      </c>
      <c r="BG39" s="13">
        <v>67</v>
      </c>
      <c r="BH39" s="13" t="s">
        <v>661</v>
      </c>
      <c r="BI39" s="13">
        <v>247</v>
      </c>
      <c r="BJ39" s="13">
        <v>6</v>
      </c>
      <c r="BK39" s="13" t="s">
        <v>545</v>
      </c>
      <c r="BL39" s="13" t="s">
        <v>545</v>
      </c>
      <c r="BM39" s="13" t="s">
        <v>545</v>
      </c>
      <c r="BN39" s="13">
        <v>4</v>
      </c>
      <c r="BO39" s="13" t="s">
        <v>545</v>
      </c>
      <c r="BP39" s="13">
        <v>62</v>
      </c>
      <c r="BQ39" s="13">
        <v>129</v>
      </c>
      <c r="BR39" s="13" t="s">
        <v>545</v>
      </c>
      <c r="BS39" s="13" t="s">
        <v>545</v>
      </c>
      <c r="BT39" s="13" t="s">
        <v>545</v>
      </c>
      <c r="BU39" s="13" t="s">
        <v>545</v>
      </c>
      <c r="BV39" s="13" t="s">
        <v>545</v>
      </c>
      <c r="BW39" s="13" t="s">
        <v>545</v>
      </c>
      <c r="BX39" s="13">
        <v>2</v>
      </c>
      <c r="BY39" s="13">
        <v>1</v>
      </c>
      <c r="BZ39" s="13">
        <v>41</v>
      </c>
      <c r="CA39" s="13">
        <v>413</v>
      </c>
      <c r="CB39" s="13" t="s">
        <v>545</v>
      </c>
      <c r="CC39" s="13" t="s">
        <v>545</v>
      </c>
      <c r="CD39" s="13" t="s">
        <v>545</v>
      </c>
      <c r="CE39" s="13" t="s">
        <v>545</v>
      </c>
      <c r="CF39" s="13" t="s">
        <v>545</v>
      </c>
      <c r="CG39" s="13" t="s">
        <v>545</v>
      </c>
      <c r="CH39" s="13" t="s">
        <v>545</v>
      </c>
      <c r="CI39" s="13" t="s">
        <v>545</v>
      </c>
      <c r="CJ39" s="13" t="s">
        <v>545</v>
      </c>
      <c r="CK39" s="13" t="s">
        <v>545</v>
      </c>
      <c r="CL39" s="13" t="s">
        <v>545</v>
      </c>
      <c r="CM39" s="13" t="s">
        <v>545</v>
      </c>
      <c r="CN39" s="13" t="s">
        <v>545</v>
      </c>
      <c r="CO39" s="13">
        <v>38</v>
      </c>
      <c r="CP39" s="13" t="s">
        <v>545</v>
      </c>
      <c r="CQ39" s="13">
        <v>141</v>
      </c>
      <c r="CR39" s="13">
        <v>162</v>
      </c>
      <c r="CS39" s="13">
        <v>60</v>
      </c>
      <c r="CT39" s="13" t="s">
        <v>545</v>
      </c>
      <c r="CU39" s="13">
        <v>35</v>
      </c>
      <c r="CV39" s="13">
        <v>15</v>
      </c>
      <c r="CW39" s="13" t="s">
        <v>545</v>
      </c>
      <c r="CX39" s="13" t="s">
        <v>545</v>
      </c>
      <c r="CY39" s="13">
        <v>25</v>
      </c>
      <c r="CZ39" s="13" t="s">
        <v>545</v>
      </c>
      <c r="DA39" s="13">
        <v>130</v>
      </c>
      <c r="DB39" s="13" t="s">
        <v>545</v>
      </c>
      <c r="DC39" s="32" t="s">
        <v>662</v>
      </c>
    </row>
    <row r="40" spans="1:107" ht="19">
      <c r="A40" s="9" t="s">
        <v>182</v>
      </c>
      <c r="B40" s="9" t="s">
        <v>183</v>
      </c>
      <c r="C40" s="13" t="s">
        <v>545</v>
      </c>
      <c r="D40" s="13" t="s">
        <v>545</v>
      </c>
      <c r="E40" s="13" t="s">
        <v>545</v>
      </c>
      <c r="F40" s="13" t="s">
        <v>545</v>
      </c>
      <c r="G40" s="13">
        <v>6</v>
      </c>
      <c r="H40" s="13" t="s">
        <v>545</v>
      </c>
      <c r="I40" s="13">
        <v>49</v>
      </c>
      <c r="J40" s="13">
        <v>1</v>
      </c>
      <c r="K40" s="13">
        <v>1</v>
      </c>
      <c r="L40" s="13" t="s">
        <v>545</v>
      </c>
      <c r="M40" s="13">
        <v>1</v>
      </c>
      <c r="N40" s="13" t="s">
        <v>545</v>
      </c>
      <c r="O40" s="13" t="s">
        <v>545</v>
      </c>
      <c r="P40" s="13" t="s">
        <v>545</v>
      </c>
      <c r="Q40" s="13" t="s">
        <v>545</v>
      </c>
      <c r="R40" s="13" t="s">
        <v>545</v>
      </c>
      <c r="S40" s="13" t="s">
        <v>545</v>
      </c>
      <c r="T40" s="13" t="s">
        <v>545</v>
      </c>
      <c r="U40" s="13" t="s">
        <v>545</v>
      </c>
      <c r="V40" s="13" t="s">
        <v>545</v>
      </c>
      <c r="W40" s="13" t="s">
        <v>545</v>
      </c>
      <c r="X40" s="13" t="s">
        <v>545</v>
      </c>
      <c r="Y40" s="13" t="s">
        <v>545</v>
      </c>
      <c r="Z40" s="13">
        <v>7</v>
      </c>
      <c r="AA40" s="13" t="s">
        <v>545</v>
      </c>
      <c r="AB40" s="13" t="s">
        <v>545</v>
      </c>
      <c r="AC40" s="13" t="s">
        <v>545</v>
      </c>
      <c r="AD40" s="13" t="s">
        <v>545</v>
      </c>
      <c r="AE40" s="13" t="s">
        <v>545</v>
      </c>
      <c r="AF40" s="13" t="s">
        <v>545</v>
      </c>
      <c r="AG40" s="13" t="s">
        <v>545</v>
      </c>
      <c r="AH40" s="13">
        <v>1</v>
      </c>
      <c r="AI40" s="13">
        <v>107</v>
      </c>
      <c r="AJ40" s="13">
        <v>8</v>
      </c>
      <c r="AK40" s="13" t="s">
        <v>663</v>
      </c>
      <c r="AL40" s="13">
        <v>227</v>
      </c>
      <c r="AM40" s="13" t="s">
        <v>664</v>
      </c>
      <c r="AN40" s="13">
        <v>252</v>
      </c>
      <c r="AO40" s="13" t="s">
        <v>665</v>
      </c>
      <c r="AP40" s="13" t="s">
        <v>666</v>
      </c>
      <c r="AQ40" s="13" t="s">
        <v>667</v>
      </c>
      <c r="AR40" s="13">
        <v>124</v>
      </c>
      <c r="AS40" s="13" t="s">
        <v>668</v>
      </c>
      <c r="AT40" s="13">
        <v>53</v>
      </c>
      <c r="AU40" s="13">
        <v>262</v>
      </c>
      <c r="AV40" s="13">
        <v>393</v>
      </c>
      <c r="AW40" s="13">
        <v>44</v>
      </c>
      <c r="AX40" s="13" t="s">
        <v>545</v>
      </c>
      <c r="AY40" s="13">
        <v>436</v>
      </c>
      <c r="AZ40" s="13" t="s">
        <v>545</v>
      </c>
      <c r="BA40" s="13" t="s">
        <v>545</v>
      </c>
      <c r="BB40" s="13" t="s">
        <v>545</v>
      </c>
      <c r="BC40" s="13" t="s">
        <v>545</v>
      </c>
      <c r="BD40" s="13" t="s">
        <v>669</v>
      </c>
      <c r="BE40" s="13" t="s">
        <v>545</v>
      </c>
      <c r="BF40" s="13" t="s">
        <v>670</v>
      </c>
      <c r="BG40" s="13" t="s">
        <v>545</v>
      </c>
      <c r="BH40" s="13">
        <v>104</v>
      </c>
      <c r="BI40" s="13" t="s">
        <v>545</v>
      </c>
      <c r="BJ40" s="13" t="s">
        <v>545</v>
      </c>
      <c r="BK40" s="13" t="s">
        <v>545</v>
      </c>
      <c r="BL40" s="13" t="s">
        <v>545</v>
      </c>
      <c r="BM40" s="13" t="s">
        <v>545</v>
      </c>
      <c r="BN40" s="13" t="s">
        <v>545</v>
      </c>
      <c r="BO40" s="13" t="s">
        <v>545</v>
      </c>
      <c r="BP40" s="13" t="s">
        <v>545</v>
      </c>
      <c r="BQ40" s="13" t="s">
        <v>545</v>
      </c>
      <c r="BR40" s="13" t="s">
        <v>545</v>
      </c>
      <c r="BS40" s="13" t="s">
        <v>545</v>
      </c>
      <c r="BT40" s="13" t="s">
        <v>545</v>
      </c>
      <c r="BU40" s="13" t="s">
        <v>545</v>
      </c>
      <c r="BV40" s="13" t="s">
        <v>545</v>
      </c>
      <c r="BW40" s="13" t="s">
        <v>545</v>
      </c>
      <c r="BX40" s="13">
        <v>6</v>
      </c>
      <c r="BY40" s="13">
        <v>7</v>
      </c>
      <c r="BZ40" s="13">
        <v>46</v>
      </c>
      <c r="CA40" s="13" t="s">
        <v>545</v>
      </c>
      <c r="CB40" s="13" t="s">
        <v>545</v>
      </c>
      <c r="CC40" s="13" t="s">
        <v>545</v>
      </c>
      <c r="CD40" s="13" t="s">
        <v>545</v>
      </c>
      <c r="CE40" s="13" t="s">
        <v>545</v>
      </c>
      <c r="CF40" s="13">
        <v>709</v>
      </c>
      <c r="CG40" s="13" t="s">
        <v>545</v>
      </c>
      <c r="CH40" s="13" t="s">
        <v>545</v>
      </c>
      <c r="CI40" s="13" t="s">
        <v>545</v>
      </c>
      <c r="CJ40" s="13" t="s">
        <v>545</v>
      </c>
      <c r="CK40" s="13" t="s">
        <v>545</v>
      </c>
      <c r="CL40" s="13" t="s">
        <v>545</v>
      </c>
      <c r="CM40" s="13" t="s">
        <v>545</v>
      </c>
      <c r="CN40" s="13" t="s">
        <v>545</v>
      </c>
      <c r="CO40" s="13" t="s">
        <v>545</v>
      </c>
      <c r="CP40" s="13" t="s">
        <v>545</v>
      </c>
      <c r="CQ40" s="13" t="s">
        <v>545</v>
      </c>
      <c r="CR40" s="13" t="s">
        <v>545</v>
      </c>
      <c r="CS40" s="13" t="s">
        <v>545</v>
      </c>
      <c r="CT40" s="13" t="s">
        <v>545</v>
      </c>
      <c r="CU40" s="13">
        <v>7</v>
      </c>
      <c r="CV40" s="13">
        <v>20</v>
      </c>
      <c r="CW40" s="13" t="s">
        <v>545</v>
      </c>
      <c r="CX40" s="13" t="s">
        <v>545</v>
      </c>
      <c r="CY40" s="13" t="s">
        <v>545</v>
      </c>
      <c r="CZ40" s="13">
        <v>2</v>
      </c>
      <c r="DA40" s="13" t="s">
        <v>545</v>
      </c>
      <c r="DB40" s="13" t="s">
        <v>545</v>
      </c>
      <c r="DC40" s="32" t="s">
        <v>671</v>
      </c>
    </row>
    <row r="41" spans="1:107" ht="19">
      <c r="A41" s="9" t="s">
        <v>184</v>
      </c>
      <c r="B41" s="9" t="s">
        <v>185</v>
      </c>
      <c r="C41" s="13">
        <v>32</v>
      </c>
      <c r="D41" s="13" t="s">
        <v>545</v>
      </c>
      <c r="E41" s="13" t="s">
        <v>545</v>
      </c>
      <c r="F41" s="13" t="s">
        <v>545</v>
      </c>
      <c r="G41" s="13" t="s">
        <v>545</v>
      </c>
      <c r="H41" s="13" t="s">
        <v>545</v>
      </c>
      <c r="I41" s="13" t="s">
        <v>545</v>
      </c>
      <c r="J41" s="13" t="s">
        <v>545</v>
      </c>
      <c r="K41" s="13" t="s">
        <v>545</v>
      </c>
      <c r="L41" s="13" t="s">
        <v>545</v>
      </c>
      <c r="M41" s="13" t="s">
        <v>545</v>
      </c>
      <c r="N41" s="13" t="s">
        <v>545</v>
      </c>
      <c r="O41" s="13" t="s">
        <v>545</v>
      </c>
      <c r="P41" s="13">
        <v>4</v>
      </c>
      <c r="Q41" s="13" t="s">
        <v>545</v>
      </c>
      <c r="R41" s="13" t="s">
        <v>545</v>
      </c>
      <c r="S41" s="13" t="s">
        <v>545</v>
      </c>
      <c r="T41" s="13" t="s">
        <v>545</v>
      </c>
      <c r="U41" s="13" t="s">
        <v>545</v>
      </c>
      <c r="V41" s="13" t="s">
        <v>545</v>
      </c>
      <c r="W41" s="13" t="s">
        <v>545</v>
      </c>
      <c r="X41" s="13" t="s">
        <v>545</v>
      </c>
      <c r="Y41" s="13" t="s">
        <v>545</v>
      </c>
      <c r="Z41" s="13" t="s">
        <v>545</v>
      </c>
      <c r="AA41" s="13" t="s">
        <v>545</v>
      </c>
      <c r="AB41" s="13" t="s">
        <v>545</v>
      </c>
      <c r="AC41" s="13">
        <v>33</v>
      </c>
      <c r="AD41" s="13" t="s">
        <v>545</v>
      </c>
      <c r="AE41" s="13">
        <v>51</v>
      </c>
      <c r="AF41" s="13" t="s">
        <v>545</v>
      </c>
      <c r="AG41" s="13" t="s">
        <v>545</v>
      </c>
      <c r="AH41" s="13">
        <v>248</v>
      </c>
      <c r="AI41" s="13">
        <v>10</v>
      </c>
      <c r="AJ41" s="13">
        <v>32</v>
      </c>
      <c r="AK41" s="13">
        <v>347</v>
      </c>
      <c r="AL41" s="13" t="s">
        <v>672</v>
      </c>
      <c r="AM41" s="13" t="s">
        <v>673</v>
      </c>
      <c r="AN41" s="13">
        <v>379</v>
      </c>
      <c r="AO41" s="13" t="s">
        <v>674</v>
      </c>
      <c r="AP41" s="13" t="s">
        <v>675</v>
      </c>
      <c r="AQ41" s="13" t="s">
        <v>676</v>
      </c>
      <c r="AR41" s="13">
        <v>35</v>
      </c>
      <c r="AS41" s="13" t="s">
        <v>677</v>
      </c>
      <c r="AT41" s="13">
        <v>20</v>
      </c>
      <c r="AU41" s="13">
        <v>53</v>
      </c>
      <c r="AV41" s="13">
        <v>375</v>
      </c>
      <c r="AW41" s="13">
        <v>4</v>
      </c>
      <c r="AX41" s="13">
        <v>20</v>
      </c>
      <c r="AY41" s="13">
        <v>184</v>
      </c>
      <c r="AZ41" s="13" t="s">
        <v>545</v>
      </c>
      <c r="BA41" s="13" t="s">
        <v>545</v>
      </c>
      <c r="BB41" s="13">
        <v>2</v>
      </c>
      <c r="BC41" s="13" t="s">
        <v>545</v>
      </c>
      <c r="BD41" s="13" t="s">
        <v>545</v>
      </c>
      <c r="BE41" s="13" t="s">
        <v>545</v>
      </c>
      <c r="BF41" s="13" t="s">
        <v>678</v>
      </c>
      <c r="BG41" s="13" t="s">
        <v>545</v>
      </c>
      <c r="BH41" s="13">
        <v>83</v>
      </c>
      <c r="BI41" s="13" t="s">
        <v>545</v>
      </c>
      <c r="BJ41" s="13" t="s">
        <v>545</v>
      </c>
      <c r="BK41" s="13" t="s">
        <v>545</v>
      </c>
      <c r="BL41" s="13" t="s">
        <v>545</v>
      </c>
      <c r="BM41" s="13" t="s">
        <v>545</v>
      </c>
      <c r="BN41" s="13" t="s">
        <v>545</v>
      </c>
      <c r="BO41" s="13" t="s">
        <v>545</v>
      </c>
      <c r="BP41" s="13" t="s">
        <v>545</v>
      </c>
      <c r="BQ41" s="13" t="s">
        <v>545</v>
      </c>
      <c r="BR41" s="13" t="s">
        <v>545</v>
      </c>
      <c r="BS41" s="13" t="s">
        <v>545</v>
      </c>
      <c r="BT41" s="13" t="s">
        <v>545</v>
      </c>
      <c r="BU41" s="13" t="s">
        <v>545</v>
      </c>
      <c r="BV41" s="13" t="s">
        <v>545</v>
      </c>
      <c r="BW41" s="13">
        <v>1</v>
      </c>
      <c r="BX41" s="13">
        <v>1</v>
      </c>
      <c r="BY41" s="13">
        <v>1</v>
      </c>
      <c r="BZ41" s="13">
        <v>47</v>
      </c>
      <c r="CA41" s="13" t="s">
        <v>545</v>
      </c>
      <c r="CB41" s="13" t="s">
        <v>545</v>
      </c>
      <c r="CC41" s="13" t="s">
        <v>545</v>
      </c>
      <c r="CD41" s="13" t="s">
        <v>545</v>
      </c>
      <c r="CE41" s="13" t="s">
        <v>545</v>
      </c>
      <c r="CF41" s="13" t="s">
        <v>545</v>
      </c>
      <c r="CG41" s="13" t="s">
        <v>545</v>
      </c>
      <c r="CH41" s="13" t="s">
        <v>545</v>
      </c>
      <c r="CI41" s="13" t="s">
        <v>545</v>
      </c>
      <c r="CJ41" s="13" t="s">
        <v>545</v>
      </c>
      <c r="CK41" s="13" t="s">
        <v>545</v>
      </c>
      <c r="CL41" s="13" t="s">
        <v>545</v>
      </c>
      <c r="CM41" s="13" t="s">
        <v>545</v>
      </c>
      <c r="CN41" s="13" t="s">
        <v>545</v>
      </c>
      <c r="CO41" s="13">
        <v>4</v>
      </c>
      <c r="CP41" s="13" t="s">
        <v>545</v>
      </c>
      <c r="CQ41" s="13" t="s">
        <v>545</v>
      </c>
      <c r="CR41" s="13" t="s">
        <v>545</v>
      </c>
      <c r="CS41" s="13" t="s">
        <v>545</v>
      </c>
      <c r="CT41" s="13" t="s">
        <v>545</v>
      </c>
      <c r="CU41" s="13" t="s">
        <v>545</v>
      </c>
      <c r="CV41" s="13">
        <v>4</v>
      </c>
      <c r="CW41" s="13" t="s">
        <v>545</v>
      </c>
      <c r="CX41" s="13" t="s">
        <v>545</v>
      </c>
      <c r="CY41" s="13" t="s">
        <v>545</v>
      </c>
      <c r="CZ41" s="13">
        <v>1</v>
      </c>
      <c r="DA41" s="13" t="s">
        <v>545</v>
      </c>
      <c r="DB41" s="13" t="s">
        <v>545</v>
      </c>
      <c r="DC41" s="32" t="s">
        <v>679</v>
      </c>
    </row>
    <row r="42" spans="1:107" ht="19">
      <c r="A42" s="9" t="s">
        <v>186</v>
      </c>
      <c r="B42" s="9" t="s">
        <v>187</v>
      </c>
      <c r="C42" s="13">
        <v>429</v>
      </c>
      <c r="D42" s="13" t="s">
        <v>545</v>
      </c>
      <c r="E42" s="13">
        <v>1</v>
      </c>
      <c r="F42" s="13" t="s">
        <v>545</v>
      </c>
      <c r="G42" s="13">
        <v>312</v>
      </c>
      <c r="H42" s="13">
        <v>7</v>
      </c>
      <c r="I42" s="13">
        <v>182</v>
      </c>
      <c r="J42" s="13">
        <v>6</v>
      </c>
      <c r="K42" s="13">
        <v>17</v>
      </c>
      <c r="L42" s="13" t="s">
        <v>545</v>
      </c>
      <c r="M42" s="13">
        <v>14</v>
      </c>
      <c r="N42" s="13" t="s">
        <v>545</v>
      </c>
      <c r="O42" s="13">
        <v>54</v>
      </c>
      <c r="P42" s="13">
        <v>139</v>
      </c>
      <c r="Q42" s="13">
        <v>6</v>
      </c>
      <c r="R42" s="13">
        <v>147</v>
      </c>
      <c r="S42" s="13">
        <v>11</v>
      </c>
      <c r="T42" s="13">
        <v>11</v>
      </c>
      <c r="U42" s="13">
        <v>1</v>
      </c>
      <c r="V42" s="13">
        <v>7</v>
      </c>
      <c r="W42" s="13">
        <v>224</v>
      </c>
      <c r="X42" s="13">
        <v>108</v>
      </c>
      <c r="Y42" s="13">
        <v>65</v>
      </c>
      <c r="Z42" s="13">
        <v>15</v>
      </c>
      <c r="AA42" s="13">
        <v>15</v>
      </c>
      <c r="AB42" s="13">
        <v>313</v>
      </c>
      <c r="AC42" s="13">
        <v>77</v>
      </c>
      <c r="AD42" s="13">
        <v>59</v>
      </c>
      <c r="AE42" s="13" t="s">
        <v>545</v>
      </c>
      <c r="AF42" s="13" t="s">
        <v>545</v>
      </c>
      <c r="AG42" s="13">
        <v>357</v>
      </c>
      <c r="AH42" s="13">
        <v>838</v>
      </c>
      <c r="AI42" s="13">
        <v>133</v>
      </c>
      <c r="AJ42" s="13">
        <v>236</v>
      </c>
      <c r="AK42" s="13">
        <v>748</v>
      </c>
      <c r="AL42" s="13">
        <v>34</v>
      </c>
      <c r="AM42" s="13" t="s">
        <v>680</v>
      </c>
      <c r="AN42" s="13">
        <v>768</v>
      </c>
      <c r="AO42" s="13">
        <v>898</v>
      </c>
      <c r="AP42" s="13" t="s">
        <v>681</v>
      </c>
      <c r="AQ42" s="13" t="s">
        <v>682</v>
      </c>
      <c r="AR42" s="13">
        <v>167</v>
      </c>
      <c r="AS42" s="13" t="s">
        <v>683</v>
      </c>
      <c r="AT42" s="13">
        <v>43</v>
      </c>
      <c r="AU42" s="13">
        <v>236</v>
      </c>
      <c r="AV42" s="13">
        <v>668</v>
      </c>
      <c r="AW42" s="13">
        <v>7</v>
      </c>
      <c r="AX42" s="13">
        <v>86</v>
      </c>
      <c r="AY42" s="13">
        <v>493</v>
      </c>
      <c r="AZ42" s="13">
        <v>853</v>
      </c>
      <c r="BA42" s="13">
        <v>6</v>
      </c>
      <c r="BB42" s="13">
        <v>23</v>
      </c>
      <c r="BC42" s="13" t="s">
        <v>545</v>
      </c>
      <c r="BD42" s="13">
        <v>804</v>
      </c>
      <c r="BE42" s="13" t="s">
        <v>545</v>
      </c>
      <c r="BF42" s="13" t="s">
        <v>684</v>
      </c>
      <c r="BG42" s="13">
        <v>277</v>
      </c>
      <c r="BH42" s="13">
        <v>704</v>
      </c>
      <c r="BI42" s="13">
        <v>355</v>
      </c>
      <c r="BJ42" s="13">
        <v>1</v>
      </c>
      <c r="BK42" s="13" t="s">
        <v>545</v>
      </c>
      <c r="BL42" s="13" t="s">
        <v>545</v>
      </c>
      <c r="BM42" s="13" t="s">
        <v>545</v>
      </c>
      <c r="BN42" s="13">
        <v>4</v>
      </c>
      <c r="BO42" s="13" t="s">
        <v>545</v>
      </c>
      <c r="BP42" s="13" t="s">
        <v>545</v>
      </c>
      <c r="BQ42" s="13" t="s">
        <v>545</v>
      </c>
      <c r="BR42" s="13" t="s">
        <v>545</v>
      </c>
      <c r="BS42" s="13" t="s">
        <v>545</v>
      </c>
      <c r="BT42" s="13" t="s">
        <v>545</v>
      </c>
      <c r="BU42" s="13" t="s">
        <v>545</v>
      </c>
      <c r="BV42" s="13" t="s">
        <v>545</v>
      </c>
      <c r="BW42" s="13">
        <v>34</v>
      </c>
      <c r="BX42" s="13">
        <v>11</v>
      </c>
      <c r="BY42" s="13">
        <v>60</v>
      </c>
      <c r="BZ42" s="13">
        <v>54</v>
      </c>
      <c r="CA42" s="13">
        <v>311</v>
      </c>
      <c r="CB42" s="13" t="s">
        <v>545</v>
      </c>
      <c r="CC42" s="13" t="s">
        <v>545</v>
      </c>
      <c r="CD42" s="13" t="s">
        <v>545</v>
      </c>
      <c r="CE42" s="13" t="s">
        <v>545</v>
      </c>
      <c r="CF42" s="13">
        <v>497</v>
      </c>
      <c r="CG42" s="13" t="s">
        <v>545</v>
      </c>
      <c r="CH42" s="13" t="s">
        <v>545</v>
      </c>
      <c r="CI42" s="13" t="s">
        <v>545</v>
      </c>
      <c r="CJ42" s="13" t="s">
        <v>545</v>
      </c>
      <c r="CK42" s="13" t="s">
        <v>545</v>
      </c>
      <c r="CL42" s="13" t="s">
        <v>545</v>
      </c>
      <c r="CM42" s="13" t="s">
        <v>545</v>
      </c>
      <c r="CN42" s="13" t="s">
        <v>545</v>
      </c>
      <c r="CO42" s="13">
        <v>603</v>
      </c>
      <c r="CP42" s="13">
        <v>526</v>
      </c>
      <c r="CQ42" s="13" t="s">
        <v>685</v>
      </c>
      <c r="CR42" s="13">
        <v>97</v>
      </c>
      <c r="CS42" s="13">
        <v>145</v>
      </c>
      <c r="CT42" s="13">
        <v>9</v>
      </c>
      <c r="CU42" s="13" t="s">
        <v>545</v>
      </c>
      <c r="CV42" s="13" t="s">
        <v>545</v>
      </c>
      <c r="CW42" s="13" t="s">
        <v>545</v>
      </c>
      <c r="CX42" s="13">
        <v>12</v>
      </c>
      <c r="CY42" s="13" t="s">
        <v>545</v>
      </c>
      <c r="CZ42" s="13">
        <v>30</v>
      </c>
      <c r="DA42" s="13">
        <v>26</v>
      </c>
      <c r="DB42" s="13" t="s">
        <v>545</v>
      </c>
      <c r="DC42" s="32" t="s">
        <v>686</v>
      </c>
    </row>
    <row r="43" spans="1:107" ht="19">
      <c r="A43" s="14" t="s">
        <v>188</v>
      </c>
      <c r="B43" s="14" t="s">
        <v>189</v>
      </c>
      <c r="C43" s="15">
        <v>62</v>
      </c>
      <c r="D43" s="15">
        <v>2</v>
      </c>
      <c r="E43" s="15">
        <v>2</v>
      </c>
      <c r="F43" s="15">
        <v>1</v>
      </c>
      <c r="G43" s="15">
        <v>101</v>
      </c>
      <c r="H43" s="15">
        <v>3</v>
      </c>
      <c r="I43" s="15">
        <v>11</v>
      </c>
      <c r="J43" s="15">
        <v>19</v>
      </c>
      <c r="K43" s="15">
        <v>12</v>
      </c>
      <c r="L43" s="15">
        <v>4</v>
      </c>
      <c r="M43" s="15">
        <v>11</v>
      </c>
      <c r="N43" s="15">
        <v>12</v>
      </c>
      <c r="O43" s="15">
        <v>18</v>
      </c>
      <c r="P43" s="15">
        <v>28</v>
      </c>
      <c r="Q43" s="15">
        <v>35</v>
      </c>
      <c r="R43" s="15">
        <v>11</v>
      </c>
      <c r="S43" s="15">
        <v>16</v>
      </c>
      <c r="T43" s="15">
        <v>15</v>
      </c>
      <c r="U43" s="15">
        <v>13</v>
      </c>
      <c r="V43" s="15">
        <v>7</v>
      </c>
      <c r="W43" s="15">
        <v>35</v>
      </c>
      <c r="X43" s="15">
        <v>36</v>
      </c>
      <c r="Y43" s="15">
        <v>68</v>
      </c>
      <c r="Z43" s="15">
        <v>8</v>
      </c>
      <c r="AA43" s="15">
        <v>17</v>
      </c>
      <c r="AB43" s="15">
        <v>8</v>
      </c>
      <c r="AC43" s="15">
        <v>45</v>
      </c>
      <c r="AD43" s="15">
        <v>11</v>
      </c>
      <c r="AE43" s="15">
        <v>21</v>
      </c>
      <c r="AF43" s="15">
        <v>5</v>
      </c>
      <c r="AG43" s="15">
        <v>93</v>
      </c>
      <c r="AH43" s="15">
        <v>73</v>
      </c>
      <c r="AI43" s="15">
        <v>8</v>
      </c>
      <c r="AJ43" s="15">
        <v>16</v>
      </c>
      <c r="AK43" s="15">
        <v>5</v>
      </c>
      <c r="AL43" s="15">
        <v>3</v>
      </c>
      <c r="AM43" s="15">
        <v>410</v>
      </c>
      <c r="AN43" s="15" t="s">
        <v>687</v>
      </c>
      <c r="AO43" s="15" t="s">
        <v>688</v>
      </c>
      <c r="AP43" s="15">
        <v>516</v>
      </c>
      <c r="AQ43" s="15" t="s">
        <v>689</v>
      </c>
      <c r="AR43" s="15">
        <v>15</v>
      </c>
      <c r="AS43" s="15">
        <v>164</v>
      </c>
      <c r="AT43" s="15">
        <v>3</v>
      </c>
      <c r="AU43" s="15">
        <v>44</v>
      </c>
      <c r="AV43" s="15">
        <v>93</v>
      </c>
      <c r="AW43" s="15">
        <v>12</v>
      </c>
      <c r="AX43" s="15">
        <v>8</v>
      </c>
      <c r="AY43" s="15">
        <v>108</v>
      </c>
      <c r="AZ43" s="15" t="s">
        <v>690</v>
      </c>
      <c r="BA43" s="15">
        <v>56</v>
      </c>
      <c r="BB43" s="15">
        <v>20</v>
      </c>
      <c r="BC43" s="15">
        <v>11</v>
      </c>
      <c r="BD43" s="15">
        <v>159</v>
      </c>
      <c r="BE43" s="15">
        <v>17</v>
      </c>
      <c r="BF43" s="15" t="s">
        <v>691</v>
      </c>
      <c r="BG43" s="15">
        <v>122</v>
      </c>
      <c r="BH43" s="15">
        <v>751</v>
      </c>
      <c r="BI43" s="15" t="s">
        <v>692</v>
      </c>
      <c r="BJ43" s="15">
        <v>13</v>
      </c>
      <c r="BK43" s="15">
        <v>127</v>
      </c>
      <c r="BL43" s="15">
        <v>22</v>
      </c>
      <c r="BM43" s="15" t="s">
        <v>545</v>
      </c>
      <c r="BN43" s="15">
        <v>430</v>
      </c>
      <c r="BO43" s="15">
        <v>103</v>
      </c>
      <c r="BP43" s="15">
        <v>83</v>
      </c>
      <c r="BQ43" s="15">
        <v>146</v>
      </c>
      <c r="BR43" s="15">
        <v>226</v>
      </c>
      <c r="BS43" s="15" t="s">
        <v>693</v>
      </c>
      <c r="BT43" s="15" t="s">
        <v>694</v>
      </c>
      <c r="BU43" s="15" t="s">
        <v>695</v>
      </c>
      <c r="BV43" s="15">
        <v>51</v>
      </c>
      <c r="BW43" s="15">
        <v>132</v>
      </c>
      <c r="BX43" s="15">
        <v>30</v>
      </c>
      <c r="BY43" s="15">
        <v>124</v>
      </c>
      <c r="BZ43" s="15">
        <v>284</v>
      </c>
      <c r="CA43" s="15">
        <v>33</v>
      </c>
      <c r="CB43" s="15">
        <v>84</v>
      </c>
      <c r="CC43" s="15">
        <v>190</v>
      </c>
      <c r="CD43" s="15">
        <v>50</v>
      </c>
      <c r="CE43" s="15">
        <v>111</v>
      </c>
      <c r="CF43" s="15" t="s">
        <v>696</v>
      </c>
      <c r="CG43" s="15">
        <v>352</v>
      </c>
      <c r="CH43" s="15">
        <v>397</v>
      </c>
      <c r="CI43" s="15" t="s">
        <v>697</v>
      </c>
      <c r="CJ43" s="15">
        <v>41</v>
      </c>
      <c r="CK43" s="15">
        <v>261</v>
      </c>
      <c r="CL43" s="15">
        <v>106</v>
      </c>
      <c r="CM43" s="15">
        <v>47</v>
      </c>
      <c r="CN43" s="15">
        <v>127</v>
      </c>
      <c r="CO43" s="15">
        <v>279</v>
      </c>
      <c r="CP43" s="15">
        <v>590</v>
      </c>
      <c r="CQ43" s="15" t="s">
        <v>698</v>
      </c>
      <c r="CR43" s="15" t="s">
        <v>699</v>
      </c>
      <c r="CS43" s="15" t="s">
        <v>700</v>
      </c>
      <c r="CT43" s="15" t="s">
        <v>701</v>
      </c>
      <c r="CU43" s="15">
        <v>294</v>
      </c>
      <c r="CV43" s="15">
        <v>71</v>
      </c>
      <c r="CW43" s="15">
        <v>92</v>
      </c>
      <c r="CX43" s="15">
        <v>364</v>
      </c>
      <c r="CY43" s="15">
        <v>203</v>
      </c>
      <c r="CZ43" s="15">
        <v>439</v>
      </c>
      <c r="DA43" s="15">
        <v>103</v>
      </c>
      <c r="DB43" s="15" t="s">
        <v>545</v>
      </c>
      <c r="DC43" s="34" t="s">
        <v>702</v>
      </c>
    </row>
    <row r="44" spans="1:107" ht="19">
      <c r="A44" s="9" t="s">
        <v>190</v>
      </c>
      <c r="B44" s="9" t="s">
        <v>191</v>
      </c>
      <c r="C44" s="13" t="s">
        <v>545</v>
      </c>
      <c r="D44" s="13" t="s">
        <v>545</v>
      </c>
      <c r="E44" s="13" t="s">
        <v>545</v>
      </c>
      <c r="F44" s="13" t="s">
        <v>545</v>
      </c>
      <c r="G44" s="13" t="s">
        <v>545</v>
      </c>
      <c r="H44" s="13" t="s">
        <v>545</v>
      </c>
      <c r="I44" s="13" t="s">
        <v>545</v>
      </c>
      <c r="J44" s="13" t="s">
        <v>545</v>
      </c>
      <c r="K44" s="13" t="s">
        <v>545</v>
      </c>
      <c r="L44" s="13" t="s">
        <v>545</v>
      </c>
      <c r="M44" s="13" t="s">
        <v>545</v>
      </c>
      <c r="N44" s="13" t="s">
        <v>545</v>
      </c>
      <c r="O44" s="13" t="s">
        <v>545</v>
      </c>
      <c r="P44" s="13" t="s">
        <v>545</v>
      </c>
      <c r="Q44" s="13" t="s">
        <v>545</v>
      </c>
      <c r="R44" s="13" t="s">
        <v>545</v>
      </c>
      <c r="S44" s="13" t="s">
        <v>545</v>
      </c>
      <c r="T44" s="13" t="s">
        <v>545</v>
      </c>
      <c r="U44" s="13" t="s">
        <v>545</v>
      </c>
      <c r="V44" s="13" t="s">
        <v>545</v>
      </c>
      <c r="W44" s="13" t="s">
        <v>545</v>
      </c>
      <c r="X44" s="13" t="s">
        <v>545</v>
      </c>
      <c r="Y44" s="13" t="s">
        <v>545</v>
      </c>
      <c r="Z44" s="13" t="s">
        <v>545</v>
      </c>
      <c r="AA44" s="13" t="s">
        <v>545</v>
      </c>
      <c r="AB44" s="13" t="s">
        <v>545</v>
      </c>
      <c r="AC44" s="13" t="s">
        <v>545</v>
      </c>
      <c r="AD44" s="13" t="s">
        <v>545</v>
      </c>
      <c r="AE44" s="13" t="s">
        <v>545</v>
      </c>
      <c r="AF44" s="13" t="s">
        <v>545</v>
      </c>
      <c r="AG44" s="13">
        <v>337</v>
      </c>
      <c r="AH44" s="13">
        <v>5</v>
      </c>
      <c r="AI44" s="13">
        <v>4</v>
      </c>
      <c r="AJ44" s="13">
        <v>4</v>
      </c>
      <c r="AK44" s="13" t="s">
        <v>545</v>
      </c>
      <c r="AL44" s="13" t="s">
        <v>545</v>
      </c>
      <c r="AM44" s="13">
        <v>319</v>
      </c>
      <c r="AN44" s="13">
        <v>766</v>
      </c>
      <c r="AO44" s="13" t="s">
        <v>703</v>
      </c>
      <c r="AP44" s="13">
        <v>497</v>
      </c>
      <c r="AQ44" s="13">
        <v>471</v>
      </c>
      <c r="AR44" s="13">
        <v>34</v>
      </c>
      <c r="AS44" s="13" t="s">
        <v>704</v>
      </c>
      <c r="AT44" s="13">
        <v>11</v>
      </c>
      <c r="AU44" s="13" t="s">
        <v>545</v>
      </c>
      <c r="AV44" s="13">
        <v>623</v>
      </c>
      <c r="AW44" s="13">
        <v>4</v>
      </c>
      <c r="AX44" s="13">
        <v>9</v>
      </c>
      <c r="AY44" s="13">
        <v>152</v>
      </c>
      <c r="AZ44" s="13" t="s">
        <v>705</v>
      </c>
      <c r="BA44" s="13">
        <v>22</v>
      </c>
      <c r="BB44" s="13" t="s">
        <v>545</v>
      </c>
      <c r="BC44" s="13" t="s">
        <v>545</v>
      </c>
      <c r="BD44" s="13">
        <v>105</v>
      </c>
      <c r="BE44" s="13" t="s">
        <v>545</v>
      </c>
      <c r="BF44" s="13" t="s">
        <v>706</v>
      </c>
      <c r="BG44" s="13">
        <v>102</v>
      </c>
      <c r="BH44" s="13">
        <v>538</v>
      </c>
      <c r="BI44" s="13">
        <v>568</v>
      </c>
      <c r="BJ44" s="13" t="s">
        <v>545</v>
      </c>
      <c r="BK44" s="13">
        <v>87</v>
      </c>
      <c r="BL44" s="13" t="s">
        <v>545</v>
      </c>
      <c r="BM44" s="13" t="s">
        <v>545</v>
      </c>
      <c r="BN44" s="13">
        <v>4</v>
      </c>
      <c r="BO44" s="13">
        <v>1</v>
      </c>
      <c r="BP44" s="13" t="s">
        <v>545</v>
      </c>
      <c r="BQ44" s="13" t="s">
        <v>545</v>
      </c>
      <c r="BR44" s="13" t="s">
        <v>545</v>
      </c>
      <c r="BS44" s="13">
        <v>20</v>
      </c>
      <c r="BT44" s="13">
        <v>536</v>
      </c>
      <c r="BU44" s="13">
        <v>110</v>
      </c>
      <c r="BV44" s="13">
        <v>25</v>
      </c>
      <c r="BW44" s="13">
        <v>90</v>
      </c>
      <c r="BX44" s="13">
        <v>11</v>
      </c>
      <c r="BY44" s="13">
        <v>47</v>
      </c>
      <c r="BZ44" s="13">
        <v>46</v>
      </c>
      <c r="CA44" s="13">
        <v>25</v>
      </c>
      <c r="CB44" s="13" t="s">
        <v>545</v>
      </c>
      <c r="CC44" s="13" t="s">
        <v>545</v>
      </c>
      <c r="CD44" s="13" t="s">
        <v>545</v>
      </c>
      <c r="CE44" s="13">
        <v>19</v>
      </c>
      <c r="CF44" s="13">
        <v>575</v>
      </c>
      <c r="CG44" s="13">
        <v>218</v>
      </c>
      <c r="CH44" s="13" t="s">
        <v>545</v>
      </c>
      <c r="CI44" s="13" t="s">
        <v>545</v>
      </c>
      <c r="CJ44" s="13" t="s">
        <v>545</v>
      </c>
      <c r="CK44" s="13">
        <v>505</v>
      </c>
      <c r="CL44" s="13" t="s">
        <v>545</v>
      </c>
      <c r="CM44" s="13" t="s">
        <v>545</v>
      </c>
      <c r="CN44" s="13">
        <v>200</v>
      </c>
      <c r="CO44" s="13" t="s">
        <v>545</v>
      </c>
      <c r="CP44" s="13" t="s">
        <v>545</v>
      </c>
      <c r="CQ44" s="13">
        <v>802</v>
      </c>
      <c r="CR44" s="13">
        <v>109</v>
      </c>
      <c r="CS44" s="13">
        <v>40</v>
      </c>
      <c r="CT44" s="13">
        <v>88</v>
      </c>
      <c r="CU44" s="13" t="s">
        <v>545</v>
      </c>
      <c r="CV44" s="13">
        <v>12</v>
      </c>
      <c r="CW44" s="13" t="s">
        <v>545</v>
      </c>
      <c r="CX44" s="13">
        <v>59</v>
      </c>
      <c r="CY44" s="13" t="s">
        <v>545</v>
      </c>
      <c r="CZ44" s="13">
        <v>74</v>
      </c>
      <c r="DA44" s="13">
        <v>191</v>
      </c>
      <c r="DB44" s="13" t="s">
        <v>545</v>
      </c>
      <c r="DC44" s="32" t="s">
        <v>707</v>
      </c>
    </row>
    <row r="45" spans="1:107" ht="19">
      <c r="A45" s="9" t="s">
        <v>192</v>
      </c>
      <c r="B45" s="9" t="s">
        <v>193</v>
      </c>
      <c r="C45" s="13">
        <v>20</v>
      </c>
      <c r="D45" s="13">
        <v>116</v>
      </c>
      <c r="E45" s="13" t="s">
        <v>545</v>
      </c>
      <c r="F45" s="13">
        <v>5</v>
      </c>
      <c r="G45" s="13" t="s">
        <v>708</v>
      </c>
      <c r="H45" s="13">
        <v>81</v>
      </c>
      <c r="I45" s="13">
        <v>527</v>
      </c>
      <c r="J45" s="13">
        <v>136</v>
      </c>
      <c r="K45" s="13">
        <v>3</v>
      </c>
      <c r="L45" s="13">
        <v>1</v>
      </c>
      <c r="M45" s="13">
        <v>3</v>
      </c>
      <c r="N45" s="13">
        <v>49</v>
      </c>
      <c r="O45" s="13">
        <v>157</v>
      </c>
      <c r="P45" s="13">
        <v>183</v>
      </c>
      <c r="Q45" s="13">
        <v>3</v>
      </c>
      <c r="R45" s="13">
        <v>144</v>
      </c>
      <c r="S45" s="13">
        <v>541</v>
      </c>
      <c r="T45" s="13">
        <v>256</v>
      </c>
      <c r="U45" s="13">
        <v>13</v>
      </c>
      <c r="V45" s="13" t="s">
        <v>545</v>
      </c>
      <c r="W45" s="13">
        <v>110</v>
      </c>
      <c r="X45" s="13">
        <v>455</v>
      </c>
      <c r="Y45" s="13">
        <v>143</v>
      </c>
      <c r="Z45" s="13">
        <v>76</v>
      </c>
      <c r="AA45" s="13">
        <v>13</v>
      </c>
      <c r="AB45" s="13" t="s">
        <v>545</v>
      </c>
      <c r="AC45" s="13">
        <v>29</v>
      </c>
      <c r="AD45" s="13">
        <v>72</v>
      </c>
      <c r="AE45" s="13" t="s">
        <v>545</v>
      </c>
      <c r="AF45" s="13">
        <v>25</v>
      </c>
      <c r="AG45" s="13">
        <v>199</v>
      </c>
      <c r="AH45" s="13">
        <v>235</v>
      </c>
      <c r="AI45" s="13">
        <v>210</v>
      </c>
      <c r="AJ45" s="13">
        <v>212</v>
      </c>
      <c r="AK45" s="13">
        <v>205</v>
      </c>
      <c r="AL45" s="13">
        <v>31</v>
      </c>
      <c r="AM45" s="13" t="s">
        <v>608</v>
      </c>
      <c r="AN45" s="13">
        <v>356</v>
      </c>
      <c r="AO45" s="13">
        <v>823</v>
      </c>
      <c r="AP45" s="13" t="s">
        <v>709</v>
      </c>
      <c r="AQ45" s="13" t="s">
        <v>710</v>
      </c>
      <c r="AR45" s="13">
        <v>56</v>
      </c>
      <c r="AS45" s="13">
        <v>365</v>
      </c>
      <c r="AT45" s="13">
        <v>15</v>
      </c>
      <c r="AU45" s="13">
        <v>30</v>
      </c>
      <c r="AV45" s="13">
        <v>297</v>
      </c>
      <c r="AW45" s="13">
        <v>151</v>
      </c>
      <c r="AX45" s="13">
        <v>36</v>
      </c>
      <c r="AY45" s="13" t="s">
        <v>711</v>
      </c>
      <c r="AZ45" s="13" t="s">
        <v>712</v>
      </c>
      <c r="BA45" s="13">
        <v>190</v>
      </c>
      <c r="BB45" s="13">
        <v>196</v>
      </c>
      <c r="BC45" s="13" t="s">
        <v>545</v>
      </c>
      <c r="BD45" s="13">
        <v>421</v>
      </c>
      <c r="BE45" s="13" t="s">
        <v>545</v>
      </c>
      <c r="BF45" s="13" t="s">
        <v>713</v>
      </c>
      <c r="BG45" s="13">
        <v>431</v>
      </c>
      <c r="BH45" s="13" t="s">
        <v>714</v>
      </c>
      <c r="BI45" s="13">
        <v>608</v>
      </c>
      <c r="BJ45" s="13">
        <v>31</v>
      </c>
      <c r="BK45" s="13" t="s">
        <v>545</v>
      </c>
      <c r="BL45" s="13" t="s">
        <v>545</v>
      </c>
      <c r="BM45" s="13" t="s">
        <v>545</v>
      </c>
      <c r="BN45" s="13">
        <v>78</v>
      </c>
      <c r="BO45" s="13">
        <v>2</v>
      </c>
      <c r="BP45" s="13" t="s">
        <v>545</v>
      </c>
      <c r="BQ45" s="13" t="s">
        <v>545</v>
      </c>
      <c r="BR45" s="13" t="s">
        <v>545</v>
      </c>
      <c r="BS45" s="13">
        <v>65</v>
      </c>
      <c r="BT45" s="13">
        <v>533</v>
      </c>
      <c r="BU45" s="13" t="s">
        <v>545</v>
      </c>
      <c r="BV45" s="13" t="s">
        <v>545</v>
      </c>
      <c r="BW45" s="13">
        <v>56</v>
      </c>
      <c r="BX45" s="13">
        <v>4</v>
      </c>
      <c r="BY45" s="13">
        <v>29</v>
      </c>
      <c r="BZ45" s="13">
        <v>39</v>
      </c>
      <c r="CA45" s="13" t="s">
        <v>545</v>
      </c>
      <c r="CB45" s="13" t="s">
        <v>545</v>
      </c>
      <c r="CC45" s="13" t="s">
        <v>545</v>
      </c>
      <c r="CD45" s="13" t="s">
        <v>545</v>
      </c>
      <c r="CE45" s="13">
        <v>5</v>
      </c>
      <c r="CF45" s="13" t="s">
        <v>596</v>
      </c>
      <c r="CG45" s="13" t="s">
        <v>545</v>
      </c>
      <c r="CH45" s="13">
        <v>157</v>
      </c>
      <c r="CI45" s="13" t="s">
        <v>545</v>
      </c>
      <c r="CJ45" s="13" t="s">
        <v>545</v>
      </c>
      <c r="CK45" s="13" t="s">
        <v>715</v>
      </c>
      <c r="CL45" s="13" t="s">
        <v>545</v>
      </c>
      <c r="CM45" s="13" t="s">
        <v>545</v>
      </c>
      <c r="CN45" s="13">
        <v>137</v>
      </c>
      <c r="CO45" s="13">
        <v>674</v>
      </c>
      <c r="CP45" s="13" t="s">
        <v>545</v>
      </c>
      <c r="CQ45" s="13">
        <v>333</v>
      </c>
      <c r="CR45" s="13" t="s">
        <v>545</v>
      </c>
      <c r="CS45" s="13" t="s">
        <v>545</v>
      </c>
      <c r="CT45" s="13" t="s">
        <v>545</v>
      </c>
      <c r="CU45" s="13" t="s">
        <v>545</v>
      </c>
      <c r="CV45" s="13" t="s">
        <v>545</v>
      </c>
      <c r="CW45" s="13">
        <v>20</v>
      </c>
      <c r="CX45" s="13">
        <v>265</v>
      </c>
      <c r="CY45" s="13">
        <v>3</v>
      </c>
      <c r="CZ45" s="13">
        <v>102</v>
      </c>
      <c r="DA45" s="13">
        <v>68</v>
      </c>
      <c r="DB45" s="13" t="s">
        <v>545</v>
      </c>
      <c r="DC45" s="32" t="s">
        <v>716</v>
      </c>
    </row>
    <row r="46" spans="1:107" ht="19">
      <c r="A46" s="9" t="s">
        <v>194</v>
      </c>
      <c r="B46" s="9" t="s">
        <v>195</v>
      </c>
      <c r="C46" s="13" t="s">
        <v>545</v>
      </c>
      <c r="D46" s="13">
        <v>67</v>
      </c>
      <c r="E46" s="13" t="s">
        <v>545</v>
      </c>
      <c r="F46" s="13" t="s">
        <v>545</v>
      </c>
      <c r="G46" s="13" t="s">
        <v>545</v>
      </c>
      <c r="H46" s="13">
        <v>26</v>
      </c>
      <c r="I46" s="13" t="s">
        <v>545</v>
      </c>
      <c r="J46" s="13">
        <v>4</v>
      </c>
      <c r="K46" s="13">
        <v>1</v>
      </c>
      <c r="L46" s="13" t="s">
        <v>545</v>
      </c>
      <c r="M46" s="13">
        <v>1</v>
      </c>
      <c r="N46" s="13" t="s">
        <v>545</v>
      </c>
      <c r="O46" s="13">
        <v>4</v>
      </c>
      <c r="P46" s="13">
        <v>1</v>
      </c>
      <c r="Q46" s="13" t="s">
        <v>545</v>
      </c>
      <c r="R46" s="13" t="s">
        <v>545</v>
      </c>
      <c r="S46" s="13">
        <v>6</v>
      </c>
      <c r="T46" s="13" t="s">
        <v>545</v>
      </c>
      <c r="U46" s="13" t="s">
        <v>545</v>
      </c>
      <c r="V46" s="13" t="s">
        <v>545</v>
      </c>
      <c r="W46" s="13" t="s">
        <v>545</v>
      </c>
      <c r="X46" s="13" t="s">
        <v>545</v>
      </c>
      <c r="Y46" s="13" t="s">
        <v>545</v>
      </c>
      <c r="Z46" s="13" t="s">
        <v>545</v>
      </c>
      <c r="AA46" s="13" t="s">
        <v>545</v>
      </c>
      <c r="AB46" s="13" t="s">
        <v>545</v>
      </c>
      <c r="AC46" s="13" t="s">
        <v>545</v>
      </c>
      <c r="AD46" s="13" t="s">
        <v>545</v>
      </c>
      <c r="AE46" s="13" t="s">
        <v>545</v>
      </c>
      <c r="AF46" s="13" t="s">
        <v>545</v>
      </c>
      <c r="AG46" s="13" t="s">
        <v>545</v>
      </c>
      <c r="AH46" s="13">
        <v>18</v>
      </c>
      <c r="AI46" s="13">
        <v>32</v>
      </c>
      <c r="AJ46" s="13">
        <v>13</v>
      </c>
      <c r="AK46" s="13">
        <v>11</v>
      </c>
      <c r="AL46" s="13">
        <v>6</v>
      </c>
      <c r="AM46" s="13">
        <v>34</v>
      </c>
      <c r="AN46" s="13">
        <v>13</v>
      </c>
      <c r="AO46" s="13">
        <v>25</v>
      </c>
      <c r="AP46" s="13" t="s">
        <v>717</v>
      </c>
      <c r="AQ46" s="13" t="s">
        <v>718</v>
      </c>
      <c r="AR46" s="13" t="s">
        <v>545</v>
      </c>
      <c r="AS46" s="13" t="s">
        <v>545</v>
      </c>
      <c r="AT46" s="13" t="s">
        <v>545</v>
      </c>
      <c r="AU46" s="13">
        <v>206</v>
      </c>
      <c r="AV46" s="13">
        <v>42</v>
      </c>
      <c r="AW46" s="13" t="s">
        <v>545</v>
      </c>
      <c r="AX46" s="13" t="s">
        <v>545</v>
      </c>
      <c r="AY46" s="13">
        <v>80</v>
      </c>
      <c r="AZ46" s="13" t="s">
        <v>545</v>
      </c>
      <c r="BA46" s="13" t="s">
        <v>545</v>
      </c>
      <c r="BB46" s="13">
        <v>6</v>
      </c>
      <c r="BC46" s="13">
        <v>105</v>
      </c>
      <c r="BD46" s="13">
        <v>72</v>
      </c>
      <c r="BE46" s="13" t="s">
        <v>545</v>
      </c>
      <c r="BF46" s="13">
        <v>700</v>
      </c>
      <c r="BG46" s="13" t="s">
        <v>719</v>
      </c>
      <c r="BH46" s="13">
        <v>808</v>
      </c>
      <c r="BI46" s="13">
        <v>650</v>
      </c>
      <c r="BJ46" s="13" t="s">
        <v>545</v>
      </c>
      <c r="BK46" s="13" t="s">
        <v>720</v>
      </c>
      <c r="BL46" s="13" t="s">
        <v>545</v>
      </c>
      <c r="BM46" s="13" t="s">
        <v>545</v>
      </c>
      <c r="BN46" s="13" t="s">
        <v>701</v>
      </c>
      <c r="BO46" s="13">
        <v>43</v>
      </c>
      <c r="BP46" s="13" t="s">
        <v>545</v>
      </c>
      <c r="BQ46" s="13" t="s">
        <v>545</v>
      </c>
      <c r="BR46" s="13" t="s">
        <v>545</v>
      </c>
      <c r="BS46" s="13">
        <v>4</v>
      </c>
      <c r="BT46" s="13">
        <v>255</v>
      </c>
      <c r="BU46" s="13">
        <v>75</v>
      </c>
      <c r="BV46" s="13">
        <v>43</v>
      </c>
      <c r="BW46" s="13">
        <v>161</v>
      </c>
      <c r="BX46" s="13">
        <v>50</v>
      </c>
      <c r="BY46" s="13">
        <v>140</v>
      </c>
      <c r="BZ46" s="13">
        <v>40</v>
      </c>
      <c r="CA46" s="13">
        <v>30</v>
      </c>
      <c r="CB46" s="13" t="s">
        <v>545</v>
      </c>
      <c r="CC46" s="13" t="s">
        <v>545</v>
      </c>
      <c r="CD46" s="13" t="s">
        <v>545</v>
      </c>
      <c r="CE46" s="13">
        <v>306</v>
      </c>
      <c r="CF46" s="13" t="s">
        <v>545</v>
      </c>
      <c r="CG46" s="13" t="s">
        <v>545</v>
      </c>
      <c r="CH46" s="13">
        <v>8</v>
      </c>
      <c r="CI46" s="13" t="s">
        <v>545</v>
      </c>
      <c r="CJ46" s="13" t="s">
        <v>545</v>
      </c>
      <c r="CK46" s="13" t="s">
        <v>721</v>
      </c>
      <c r="CL46" s="13">
        <v>173</v>
      </c>
      <c r="CM46" s="13" t="s">
        <v>545</v>
      </c>
      <c r="CN46" s="13">
        <v>101</v>
      </c>
      <c r="CO46" s="13">
        <v>10</v>
      </c>
      <c r="CP46" s="13" t="s">
        <v>545</v>
      </c>
      <c r="CQ46" s="13">
        <v>625</v>
      </c>
      <c r="CR46" s="13">
        <v>252</v>
      </c>
      <c r="CS46" s="13">
        <v>235</v>
      </c>
      <c r="CT46" s="13">
        <v>398</v>
      </c>
      <c r="CU46" s="13" t="s">
        <v>545</v>
      </c>
      <c r="CV46" s="13">
        <v>8</v>
      </c>
      <c r="CW46" s="13" t="s">
        <v>545</v>
      </c>
      <c r="CX46" s="13">
        <v>289</v>
      </c>
      <c r="CY46" s="13">
        <v>4</v>
      </c>
      <c r="CZ46" s="13">
        <v>4</v>
      </c>
      <c r="DA46" s="13">
        <v>10</v>
      </c>
      <c r="DB46" s="13" t="s">
        <v>545</v>
      </c>
      <c r="DC46" s="32" t="s">
        <v>722</v>
      </c>
    </row>
    <row r="47" spans="1:107" ht="19">
      <c r="A47" s="9" t="s">
        <v>196</v>
      </c>
      <c r="B47" s="9" t="s">
        <v>197</v>
      </c>
      <c r="C47" s="13" t="s">
        <v>545</v>
      </c>
      <c r="D47" s="13" t="s">
        <v>545</v>
      </c>
      <c r="E47" s="13" t="s">
        <v>545</v>
      </c>
      <c r="F47" s="13" t="s">
        <v>545</v>
      </c>
      <c r="G47" s="13">
        <v>148</v>
      </c>
      <c r="H47" s="13" t="s">
        <v>545</v>
      </c>
      <c r="I47" s="13" t="s">
        <v>545</v>
      </c>
      <c r="J47" s="13" t="s">
        <v>545</v>
      </c>
      <c r="K47" s="13" t="s">
        <v>545</v>
      </c>
      <c r="L47" s="13" t="s">
        <v>545</v>
      </c>
      <c r="M47" s="13" t="s">
        <v>545</v>
      </c>
      <c r="N47" s="13" t="s">
        <v>545</v>
      </c>
      <c r="O47" s="13" t="s">
        <v>545</v>
      </c>
      <c r="P47" s="13" t="s">
        <v>545</v>
      </c>
      <c r="Q47" s="13" t="s">
        <v>545</v>
      </c>
      <c r="R47" s="13" t="s">
        <v>545</v>
      </c>
      <c r="S47" s="13" t="s">
        <v>545</v>
      </c>
      <c r="T47" s="13" t="s">
        <v>545</v>
      </c>
      <c r="U47" s="13" t="s">
        <v>545</v>
      </c>
      <c r="V47" s="13" t="s">
        <v>545</v>
      </c>
      <c r="W47" s="13" t="s">
        <v>545</v>
      </c>
      <c r="X47" s="13" t="s">
        <v>545</v>
      </c>
      <c r="Y47" s="13" t="s">
        <v>545</v>
      </c>
      <c r="Z47" s="13" t="s">
        <v>545</v>
      </c>
      <c r="AA47" s="13" t="s">
        <v>545</v>
      </c>
      <c r="AB47" s="13" t="s">
        <v>545</v>
      </c>
      <c r="AC47" s="13" t="s">
        <v>545</v>
      </c>
      <c r="AD47" s="13" t="s">
        <v>545</v>
      </c>
      <c r="AE47" s="13" t="s">
        <v>545</v>
      </c>
      <c r="AF47" s="13" t="s">
        <v>545</v>
      </c>
      <c r="AG47" s="13" t="s">
        <v>545</v>
      </c>
      <c r="AH47" s="13" t="s">
        <v>545</v>
      </c>
      <c r="AI47" s="13" t="s">
        <v>545</v>
      </c>
      <c r="AJ47" s="13" t="s">
        <v>545</v>
      </c>
      <c r="AK47" s="13" t="s">
        <v>545</v>
      </c>
      <c r="AL47" s="13" t="s">
        <v>545</v>
      </c>
      <c r="AM47" s="13" t="s">
        <v>545</v>
      </c>
      <c r="AN47" s="13">
        <v>9</v>
      </c>
      <c r="AO47" s="13" t="s">
        <v>545</v>
      </c>
      <c r="AP47" s="13" t="s">
        <v>545</v>
      </c>
      <c r="AQ47" s="13">
        <v>20</v>
      </c>
      <c r="AR47" s="13" t="s">
        <v>723</v>
      </c>
      <c r="AS47" s="13" t="s">
        <v>545</v>
      </c>
      <c r="AT47" s="13" t="s">
        <v>545</v>
      </c>
      <c r="AU47" s="13" t="s">
        <v>545</v>
      </c>
      <c r="AV47" s="13" t="s">
        <v>545</v>
      </c>
      <c r="AW47" s="13">
        <v>97</v>
      </c>
      <c r="AX47" s="13" t="s">
        <v>545</v>
      </c>
      <c r="AY47" s="13" t="s">
        <v>545</v>
      </c>
      <c r="AZ47" s="13" t="s">
        <v>545</v>
      </c>
      <c r="BA47" s="13" t="s">
        <v>545</v>
      </c>
      <c r="BB47" s="13" t="s">
        <v>545</v>
      </c>
      <c r="BC47" s="13" t="s">
        <v>545</v>
      </c>
      <c r="BD47" s="13" t="s">
        <v>545</v>
      </c>
      <c r="BE47" s="13" t="s">
        <v>545</v>
      </c>
      <c r="BF47" s="13" t="s">
        <v>545</v>
      </c>
      <c r="BG47" s="13" t="s">
        <v>545</v>
      </c>
      <c r="BH47" s="13" t="s">
        <v>545</v>
      </c>
      <c r="BI47" s="13" t="s">
        <v>545</v>
      </c>
      <c r="BJ47" s="13" t="s">
        <v>545</v>
      </c>
      <c r="BK47" s="13" t="s">
        <v>545</v>
      </c>
      <c r="BL47" s="13">
        <v>441</v>
      </c>
      <c r="BM47" s="13" t="s">
        <v>545</v>
      </c>
      <c r="BN47" s="13" t="s">
        <v>545</v>
      </c>
      <c r="BO47" s="13" t="s">
        <v>545</v>
      </c>
      <c r="BP47" s="13" t="s">
        <v>545</v>
      </c>
      <c r="BQ47" s="13" t="s">
        <v>545</v>
      </c>
      <c r="BR47" s="13" t="s">
        <v>545</v>
      </c>
      <c r="BS47" s="13" t="s">
        <v>545</v>
      </c>
      <c r="BT47" s="13" t="s">
        <v>545</v>
      </c>
      <c r="BU47" s="13" t="s">
        <v>545</v>
      </c>
      <c r="BV47" s="13" t="s">
        <v>545</v>
      </c>
      <c r="BW47" s="13" t="s">
        <v>545</v>
      </c>
      <c r="BX47" s="13">
        <v>2</v>
      </c>
      <c r="BY47" s="13" t="s">
        <v>545</v>
      </c>
      <c r="BZ47" s="13">
        <v>44</v>
      </c>
      <c r="CA47" s="13" t="s">
        <v>545</v>
      </c>
      <c r="CB47" s="13" t="s">
        <v>545</v>
      </c>
      <c r="CC47" s="13" t="s">
        <v>545</v>
      </c>
      <c r="CD47" s="13" t="s">
        <v>545</v>
      </c>
      <c r="CE47" s="13" t="s">
        <v>545</v>
      </c>
      <c r="CF47" s="13" t="s">
        <v>545</v>
      </c>
      <c r="CG47" s="13" t="s">
        <v>545</v>
      </c>
      <c r="CH47" s="13" t="s">
        <v>545</v>
      </c>
      <c r="CI47" s="13" t="s">
        <v>545</v>
      </c>
      <c r="CJ47" s="13" t="s">
        <v>545</v>
      </c>
      <c r="CK47" s="13" t="s">
        <v>545</v>
      </c>
      <c r="CL47" s="13" t="s">
        <v>545</v>
      </c>
      <c r="CM47" s="13" t="s">
        <v>545</v>
      </c>
      <c r="CN47" s="13" t="s">
        <v>545</v>
      </c>
      <c r="CO47" s="13" t="s">
        <v>545</v>
      </c>
      <c r="CP47" s="13" t="s">
        <v>545</v>
      </c>
      <c r="CQ47" s="13">
        <v>578</v>
      </c>
      <c r="CR47" s="13" t="s">
        <v>545</v>
      </c>
      <c r="CS47" s="13" t="s">
        <v>545</v>
      </c>
      <c r="CT47" s="13" t="s">
        <v>545</v>
      </c>
      <c r="CU47" s="13">
        <v>2</v>
      </c>
      <c r="CV47" s="13" t="s">
        <v>545</v>
      </c>
      <c r="CW47" s="13" t="s">
        <v>545</v>
      </c>
      <c r="CX47" s="13" t="s">
        <v>545</v>
      </c>
      <c r="CY47" s="13" t="s">
        <v>545</v>
      </c>
      <c r="CZ47" s="13" t="s">
        <v>545</v>
      </c>
      <c r="DA47" s="13" t="s">
        <v>545</v>
      </c>
      <c r="DB47" s="13" t="s">
        <v>545</v>
      </c>
      <c r="DC47" s="32" t="s">
        <v>724</v>
      </c>
    </row>
    <row r="48" spans="1:107" ht="19">
      <c r="A48" s="9" t="s">
        <v>198</v>
      </c>
      <c r="B48" s="9" t="s">
        <v>199</v>
      </c>
      <c r="C48" s="13" t="s">
        <v>545</v>
      </c>
      <c r="D48" s="13" t="s">
        <v>545</v>
      </c>
      <c r="E48" s="13" t="s">
        <v>545</v>
      </c>
      <c r="F48" s="13" t="s">
        <v>545</v>
      </c>
      <c r="G48" s="13" t="s">
        <v>545</v>
      </c>
      <c r="H48" s="13" t="s">
        <v>545</v>
      </c>
      <c r="I48" s="13" t="s">
        <v>545</v>
      </c>
      <c r="J48" s="13" t="s">
        <v>545</v>
      </c>
      <c r="K48" s="13" t="s">
        <v>545</v>
      </c>
      <c r="L48" s="13" t="s">
        <v>545</v>
      </c>
      <c r="M48" s="13" t="s">
        <v>545</v>
      </c>
      <c r="N48" s="13" t="s">
        <v>545</v>
      </c>
      <c r="O48" s="13" t="s">
        <v>545</v>
      </c>
      <c r="P48" s="13" t="s">
        <v>545</v>
      </c>
      <c r="Q48" s="13" t="s">
        <v>545</v>
      </c>
      <c r="R48" s="13" t="s">
        <v>545</v>
      </c>
      <c r="S48" s="13" t="s">
        <v>545</v>
      </c>
      <c r="T48" s="13" t="s">
        <v>545</v>
      </c>
      <c r="U48" s="13" t="s">
        <v>545</v>
      </c>
      <c r="V48" s="13" t="s">
        <v>545</v>
      </c>
      <c r="W48" s="13" t="s">
        <v>545</v>
      </c>
      <c r="X48" s="13" t="s">
        <v>545</v>
      </c>
      <c r="Y48" s="13" t="s">
        <v>545</v>
      </c>
      <c r="Z48" s="13" t="s">
        <v>545</v>
      </c>
      <c r="AA48" s="13" t="s">
        <v>545</v>
      </c>
      <c r="AB48" s="13" t="s">
        <v>545</v>
      </c>
      <c r="AC48" s="13" t="s">
        <v>545</v>
      </c>
      <c r="AD48" s="13" t="s">
        <v>545</v>
      </c>
      <c r="AE48" s="13" t="s">
        <v>545</v>
      </c>
      <c r="AF48" s="13" t="s">
        <v>545</v>
      </c>
      <c r="AG48" s="13" t="s">
        <v>545</v>
      </c>
      <c r="AH48" s="13" t="s">
        <v>545</v>
      </c>
      <c r="AI48" s="13" t="s">
        <v>545</v>
      </c>
      <c r="AJ48" s="13" t="s">
        <v>545</v>
      </c>
      <c r="AK48" s="13" t="s">
        <v>545</v>
      </c>
      <c r="AL48" s="13" t="s">
        <v>545</v>
      </c>
      <c r="AM48" s="13">
        <v>4</v>
      </c>
      <c r="AN48" s="13">
        <v>8</v>
      </c>
      <c r="AO48" s="13" t="s">
        <v>545</v>
      </c>
      <c r="AP48" s="13">
        <v>1</v>
      </c>
      <c r="AQ48" s="13">
        <v>14</v>
      </c>
      <c r="AR48" s="13" t="s">
        <v>545</v>
      </c>
      <c r="AS48" s="13" t="s">
        <v>725</v>
      </c>
      <c r="AT48" s="13" t="s">
        <v>545</v>
      </c>
      <c r="AU48" s="13" t="s">
        <v>545</v>
      </c>
      <c r="AV48" s="13" t="s">
        <v>545</v>
      </c>
      <c r="AW48" s="13" t="s">
        <v>545</v>
      </c>
      <c r="AX48" s="13" t="s">
        <v>676</v>
      </c>
      <c r="AY48" s="13" t="s">
        <v>545</v>
      </c>
      <c r="AZ48" s="13" t="s">
        <v>545</v>
      </c>
      <c r="BA48" s="13" t="s">
        <v>545</v>
      </c>
      <c r="BB48" s="13" t="s">
        <v>545</v>
      </c>
      <c r="BC48" s="13" t="s">
        <v>545</v>
      </c>
      <c r="BD48" s="13" t="s">
        <v>545</v>
      </c>
      <c r="BE48" s="13" t="s">
        <v>545</v>
      </c>
      <c r="BF48" s="13" t="s">
        <v>545</v>
      </c>
      <c r="BG48" s="13" t="s">
        <v>545</v>
      </c>
      <c r="BH48" s="13" t="s">
        <v>545</v>
      </c>
      <c r="BI48" s="13" t="s">
        <v>545</v>
      </c>
      <c r="BJ48" s="13" t="s">
        <v>545</v>
      </c>
      <c r="BK48" s="13" t="s">
        <v>545</v>
      </c>
      <c r="BL48" s="13" t="s">
        <v>545</v>
      </c>
      <c r="BM48" s="13">
        <v>347</v>
      </c>
      <c r="BN48" s="13" t="s">
        <v>545</v>
      </c>
      <c r="BO48" s="13" t="s">
        <v>545</v>
      </c>
      <c r="BP48" s="13" t="s">
        <v>545</v>
      </c>
      <c r="BQ48" s="13" t="s">
        <v>545</v>
      </c>
      <c r="BR48" s="13" t="s">
        <v>545</v>
      </c>
      <c r="BS48" s="13" t="s">
        <v>545</v>
      </c>
      <c r="BT48" s="13" t="s">
        <v>545</v>
      </c>
      <c r="BU48" s="13" t="s">
        <v>545</v>
      </c>
      <c r="BV48" s="13" t="s">
        <v>545</v>
      </c>
      <c r="BW48" s="13">
        <v>1</v>
      </c>
      <c r="BX48" s="13">
        <v>12</v>
      </c>
      <c r="BY48" s="13">
        <v>5</v>
      </c>
      <c r="BZ48" s="13">
        <v>35</v>
      </c>
      <c r="CA48" s="13" t="s">
        <v>545</v>
      </c>
      <c r="CB48" s="13" t="s">
        <v>545</v>
      </c>
      <c r="CC48" s="13" t="s">
        <v>545</v>
      </c>
      <c r="CD48" s="13" t="s">
        <v>545</v>
      </c>
      <c r="CE48" s="13" t="s">
        <v>545</v>
      </c>
      <c r="CF48" s="13" t="s">
        <v>545</v>
      </c>
      <c r="CG48" s="13" t="s">
        <v>545</v>
      </c>
      <c r="CH48" s="13" t="s">
        <v>545</v>
      </c>
      <c r="CI48" s="13" t="s">
        <v>545</v>
      </c>
      <c r="CJ48" s="13" t="s">
        <v>545</v>
      </c>
      <c r="CK48" s="13" t="s">
        <v>545</v>
      </c>
      <c r="CL48" s="13" t="s">
        <v>545</v>
      </c>
      <c r="CM48" s="13" t="s">
        <v>545</v>
      </c>
      <c r="CN48" s="13" t="s">
        <v>545</v>
      </c>
      <c r="CO48" s="13" t="s">
        <v>545</v>
      </c>
      <c r="CP48" s="13" t="s">
        <v>545</v>
      </c>
      <c r="CQ48" s="13" t="s">
        <v>726</v>
      </c>
      <c r="CR48" s="13" t="s">
        <v>545</v>
      </c>
      <c r="CS48" s="13" t="s">
        <v>545</v>
      </c>
      <c r="CT48" s="13" t="s">
        <v>545</v>
      </c>
      <c r="CU48" s="13">
        <v>7</v>
      </c>
      <c r="CV48" s="13">
        <v>4</v>
      </c>
      <c r="CW48" s="13" t="s">
        <v>545</v>
      </c>
      <c r="CX48" s="13" t="s">
        <v>545</v>
      </c>
      <c r="CY48" s="13" t="s">
        <v>545</v>
      </c>
      <c r="CZ48" s="13" t="s">
        <v>545</v>
      </c>
      <c r="DA48" s="13" t="s">
        <v>545</v>
      </c>
      <c r="DB48" s="13" t="s">
        <v>545</v>
      </c>
      <c r="DC48" s="32" t="s">
        <v>727</v>
      </c>
    </row>
    <row r="49" spans="1:107" ht="19">
      <c r="A49" s="9" t="s">
        <v>200</v>
      </c>
      <c r="B49" s="9" t="s">
        <v>201</v>
      </c>
      <c r="C49" s="13" t="s">
        <v>545</v>
      </c>
      <c r="D49" s="13" t="s">
        <v>545</v>
      </c>
      <c r="E49" s="13" t="s">
        <v>545</v>
      </c>
      <c r="F49" s="13" t="s">
        <v>545</v>
      </c>
      <c r="G49" s="13" t="s">
        <v>545</v>
      </c>
      <c r="H49" s="13" t="s">
        <v>545</v>
      </c>
      <c r="I49" s="13" t="s">
        <v>545</v>
      </c>
      <c r="J49" s="13" t="s">
        <v>545</v>
      </c>
      <c r="K49" s="13" t="s">
        <v>545</v>
      </c>
      <c r="L49" s="13" t="s">
        <v>545</v>
      </c>
      <c r="M49" s="13" t="s">
        <v>545</v>
      </c>
      <c r="N49" s="13" t="s">
        <v>545</v>
      </c>
      <c r="O49" s="13" t="s">
        <v>545</v>
      </c>
      <c r="P49" s="13" t="s">
        <v>545</v>
      </c>
      <c r="Q49" s="13" t="s">
        <v>545</v>
      </c>
      <c r="R49" s="13" t="s">
        <v>545</v>
      </c>
      <c r="S49" s="13" t="s">
        <v>545</v>
      </c>
      <c r="T49" s="13" t="s">
        <v>545</v>
      </c>
      <c r="U49" s="13" t="s">
        <v>545</v>
      </c>
      <c r="V49" s="13" t="s">
        <v>545</v>
      </c>
      <c r="W49" s="13" t="s">
        <v>545</v>
      </c>
      <c r="X49" s="13" t="s">
        <v>545</v>
      </c>
      <c r="Y49" s="13" t="s">
        <v>545</v>
      </c>
      <c r="Z49" s="13" t="s">
        <v>545</v>
      </c>
      <c r="AA49" s="13" t="s">
        <v>545</v>
      </c>
      <c r="AB49" s="13" t="s">
        <v>545</v>
      </c>
      <c r="AC49" s="13" t="s">
        <v>545</v>
      </c>
      <c r="AD49" s="13" t="s">
        <v>545</v>
      </c>
      <c r="AE49" s="13" t="s">
        <v>545</v>
      </c>
      <c r="AF49" s="13" t="s">
        <v>545</v>
      </c>
      <c r="AG49" s="13" t="s">
        <v>545</v>
      </c>
      <c r="AH49" s="13" t="s">
        <v>545</v>
      </c>
      <c r="AI49" s="13" t="s">
        <v>545</v>
      </c>
      <c r="AJ49" s="13" t="s">
        <v>545</v>
      </c>
      <c r="AK49" s="13" t="s">
        <v>545</v>
      </c>
      <c r="AL49" s="13" t="s">
        <v>545</v>
      </c>
      <c r="AM49" s="13">
        <v>5</v>
      </c>
      <c r="AN49" s="13" t="s">
        <v>582</v>
      </c>
      <c r="AO49" s="13" t="s">
        <v>545</v>
      </c>
      <c r="AP49" s="13">
        <v>1</v>
      </c>
      <c r="AQ49" s="13" t="s">
        <v>545</v>
      </c>
      <c r="AR49" s="13" t="s">
        <v>545</v>
      </c>
      <c r="AS49" s="13" t="s">
        <v>545</v>
      </c>
      <c r="AT49" s="13">
        <v>760</v>
      </c>
      <c r="AU49" s="13" t="s">
        <v>545</v>
      </c>
      <c r="AV49" s="13" t="s">
        <v>545</v>
      </c>
      <c r="AW49" s="13" t="s">
        <v>545</v>
      </c>
      <c r="AX49" s="13" t="s">
        <v>545</v>
      </c>
      <c r="AY49" s="13" t="s">
        <v>728</v>
      </c>
      <c r="AZ49" s="13" t="s">
        <v>545</v>
      </c>
      <c r="BA49" s="13" t="s">
        <v>545</v>
      </c>
      <c r="BB49" s="13" t="s">
        <v>545</v>
      </c>
      <c r="BC49" s="13" t="s">
        <v>545</v>
      </c>
      <c r="BD49" s="13" t="s">
        <v>545</v>
      </c>
      <c r="BE49" s="13" t="s">
        <v>545</v>
      </c>
      <c r="BF49" s="13" t="s">
        <v>545</v>
      </c>
      <c r="BG49" s="13" t="s">
        <v>545</v>
      </c>
      <c r="BH49" s="13" t="s">
        <v>545</v>
      </c>
      <c r="BI49" s="13" t="s">
        <v>545</v>
      </c>
      <c r="BJ49" s="13">
        <v>382</v>
      </c>
      <c r="BK49" s="13" t="s">
        <v>545</v>
      </c>
      <c r="BL49" s="13" t="s">
        <v>545</v>
      </c>
      <c r="BM49" s="13" t="s">
        <v>545</v>
      </c>
      <c r="BN49" s="13">
        <v>2</v>
      </c>
      <c r="BO49" s="13" t="s">
        <v>545</v>
      </c>
      <c r="BP49" s="13" t="s">
        <v>545</v>
      </c>
      <c r="BQ49" s="13" t="s">
        <v>545</v>
      </c>
      <c r="BR49" s="13" t="s">
        <v>545</v>
      </c>
      <c r="BS49" s="13" t="s">
        <v>545</v>
      </c>
      <c r="BT49" s="13" t="s">
        <v>545</v>
      </c>
      <c r="BU49" s="13" t="s">
        <v>545</v>
      </c>
      <c r="BV49" s="13" t="s">
        <v>545</v>
      </c>
      <c r="BW49" s="13">
        <v>2</v>
      </c>
      <c r="BX49" s="13">
        <v>2</v>
      </c>
      <c r="BY49" s="13" t="s">
        <v>545</v>
      </c>
      <c r="BZ49" s="13">
        <v>42</v>
      </c>
      <c r="CA49" s="13" t="s">
        <v>545</v>
      </c>
      <c r="CB49" s="13" t="s">
        <v>545</v>
      </c>
      <c r="CC49" s="13" t="s">
        <v>545</v>
      </c>
      <c r="CD49" s="13" t="s">
        <v>545</v>
      </c>
      <c r="CE49" s="13" t="s">
        <v>545</v>
      </c>
      <c r="CF49" s="13" t="s">
        <v>545</v>
      </c>
      <c r="CG49" s="13" t="s">
        <v>545</v>
      </c>
      <c r="CH49" s="13" t="s">
        <v>545</v>
      </c>
      <c r="CI49" s="13" t="s">
        <v>545</v>
      </c>
      <c r="CJ49" s="13" t="s">
        <v>545</v>
      </c>
      <c r="CK49" s="13" t="s">
        <v>545</v>
      </c>
      <c r="CL49" s="13" t="s">
        <v>545</v>
      </c>
      <c r="CM49" s="13" t="s">
        <v>545</v>
      </c>
      <c r="CN49" s="13" t="s">
        <v>545</v>
      </c>
      <c r="CO49" s="13" t="s">
        <v>545</v>
      </c>
      <c r="CP49" s="13" t="s">
        <v>545</v>
      </c>
      <c r="CQ49" s="13">
        <v>9</v>
      </c>
      <c r="CR49" s="13" t="s">
        <v>545</v>
      </c>
      <c r="CS49" s="13">
        <v>399</v>
      </c>
      <c r="CT49" s="13" t="s">
        <v>545</v>
      </c>
      <c r="CU49" s="13" t="s">
        <v>545</v>
      </c>
      <c r="CV49" s="13" t="s">
        <v>545</v>
      </c>
      <c r="CW49" s="13" t="s">
        <v>545</v>
      </c>
      <c r="CX49" s="13" t="s">
        <v>545</v>
      </c>
      <c r="CY49" s="13">
        <v>2</v>
      </c>
      <c r="CZ49" s="13" t="s">
        <v>545</v>
      </c>
      <c r="DA49" s="13" t="s">
        <v>545</v>
      </c>
      <c r="DB49" s="13" t="s">
        <v>545</v>
      </c>
      <c r="DC49" s="32" t="s">
        <v>729</v>
      </c>
    </row>
    <row r="50" spans="1:107" ht="19">
      <c r="A50" s="9" t="s">
        <v>202</v>
      </c>
      <c r="B50" s="9" t="s">
        <v>203</v>
      </c>
      <c r="C50" s="13" t="s">
        <v>545</v>
      </c>
      <c r="D50" s="13" t="s">
        <v>545</v>
      </c>
      <c r="E50" s="13" t="s">
        <v>545</v>
      </c>
      <c r="F50" s="13" t="s">
        <v>545</v>
      </c>
      <c r="G50" s="13" t="s">
        <v>545</v>
      </c>
      <c r="H50" s="13" t="s">
        <v>545</v>
      </c>
      <c r="I50" s="13" t="s">
        <v>545</v>
      </c>
      <c r="J50" s="13" t="s">
        <v>545</v>
      </c>
      <c r="K50" s="13" t="s">
        <v>545</v>
      </c>
      <c r="L50" s="13" t="s">
        <v>545</v>
      </c>
      <c r="M50" s="13" t="s">
        <v>545</v>
      </c>
      <c r="N50" s="13" t="s">
        <v>545</v>
      </c>
      <c r="O50" s="13" t="s">
        <v>545</v>
      </c>
      <c r="P50" s="13" t="s">
        <v>545</v>
      </c>
      <c r="Q50" s="13" t="s">
        <v>545</v>
      </c>
      <c r="R50" s="13" t="s">
        <v>545</v>
      </c>
      <c r="S50" s="13" t="s">
        <v>545</v>
      </c>
      <c r="T50" s="13">
        <v>2</v>
      </c>
      <c r="U50" s="13" t="s">
        <v>545</v>
      </c>
      <c r="V50" s="13" t="s">
        <v>545</v>
      </c>
      <c r="W50" s="13">
        <v>3</v>
      </c>
      <c r="X50" s="13" t="s">
        <v>545</v>
      </c>
      <c r="Y50" s="13" t="s">
        <v>545</v>
      </c>
      <c r="Z50" s="13" t="s">
        <v>545</v>
      </c>
      <c r="AA50" s="13" t="s">
        <v>545</v>
      </c>
      <c r="AB50" s="13" t="s">
        <v>545</v>
      </c>
      <c r="AC50" s="13" t="s">
        <v>545</v>
      </c>
      <c r="AD50" s="13" t="s">
        <v>545</v>
      </c>
      <c r="AE50" s="13" t="s">
        <v>545</v>
      </c>
      <c r="AF50" s="13" t="s">
        <v>545</v>
      </c>
      <c r="AG50" s="13" t="s">
        <v>545</v>
      </c>
      <c r="AH50" s="13">
        <v>3</v>
      </c>
      <c r="AI50" s="13" t="s">
        <v>545</v>
      </c>
      <c r="AJ50" s="13" t="s">
        <v>545</v>
      </c>
      <c r="AK50" s="13" t="s">
        <v>545</v>
      </c>
      <c r="AL50" s="13" t="s">
        <v>545</v>
      </c>
      <c r="AM50" s="13">
        <v>10</v>
      </c>
      <c r="AN50" s="13" t="s">
        <v>545</v>
      </c>
      <c r="AO50" s="13" t="s">
        <v>545</v>
      </c>
      <c r="AP50" s="13" t="s">
        <v>545</v>
      </c>
      <c r="AQ50" s="13">
        <v>10</v>
      </c>
      <c r="AR50" s="13">
        <v>24</v>
      </c>
      <c r="AS50" s="13" t="s">
        <v>545</v>
      </c>
      <c r="AT50" s="13" t="s">
        <v>545</v>
      </c>
      <c r="AU50" s="13">
        <v>611</v>
      </c>
      <c r="AV50" s="13" t="s">
        <v>545</v>
      </c>
      <c r="AW50" s="13" t="s">
        <v>545</v>
      </c>
      <c r="AX50" s="13" t="s">
        <v>545</v>
      </c>
      <c r="AY50" s="13" t="s">
        <v>545</v>
      </c>
      <c r="AZ50" s="13" t="s">
        <v>545</v>
      </c>
      <c r="BA50" s="13" t="s">
        <v>545</v>
      </c>
      <c r="BB50" s="13" t="s">
        <v>545</v>
      </c>
      <c r="BC50" s="13" t="s">
        <v>545</v>
      </c>
      <c r="BD50" s="13" t="s">
        <v>545</v>
      </c>
      <c r="BE50" s="13" t="s">
        <v>545</v>
      </c>
      <c r="BF50" s="13">
        <v>572</v>
      </c>
      <c r="BG50" s="13" t="s">
        <v>545</v>
      </c>
      <c r="BH50" s="13" t="s">
        <v>545</v>
      </c>
      <c r="BI50" s="13" t="s">
        <v>545</v>
      </c>
      <c r="BJ50" s="13" t="s">
        <v>545</v>
      </c>
      <c r="BK50" s="13" t="s">
        <v>545</v>
      </c>
      <c r="BL50" s="13" t="s">
        <v>545</v>
      </c>
      <c r="BM50" s="13" t="s">
        <v>545</v>
      </c>
      <c r="BN50" s="13" t="s">
        <v>545</v>
      </c>
      <c r="BO50" s="13" t="s">
        <v>545</v>
      </c>
      <c r="BP50" s="13" t="s">
        <v>545</v>
      </c>
      <c r="BQ50" s="13" t="s">
        <v>545</v>
      </c>
      <c r="BR50" s="13" t="s">
        <v>545</v>
      </c>
      <c r="BS50" s="13" t="s">
        <v>545</v>
      </c>
      <c r="BT50" s="13" t="s">
        <v>545</v>
      </c>
      <c r="BU50" s="13" t="s">
        <v>545</v>
      </c>
      <c r="BV50" s="13" t="s">
        <v>545</v>
      </c>
      <c r="BW50" s="13">
        <v>29</v>
      </c>
      <c r="BX50" s="13" t="s">
        <v>545</v>
      </c>
      <c r="BY50" s="13">
        <v>9</v>
      </c>
      <c r="BZ50" s="13">
        <v>31</v>
      </c>
      <c r="CA50" s="13">
        <v>6</v>
      </c>
      <c r="CB50" s="13" t="s">
        <v>545</v>
      </c>
      <c r="CC50" s="13" t="s">
        <v>545</v>
      </c>
      <c r="CD50" s="13" t="s">
        <v>545</v>
      </c>
      <c r="CE50" s="13" t="s">
        <v>545</v>
      </c>
      <c r="CF50" s="13" t="s">
        <v>545</v>
      </c>
      <c r="CG50" s="13" t="s">
        <v>545</v>
      </c>
      <c r="CH50" s="13" t="s">
        <v>545</v>
      </c>
      <c r="CI50" s="13" t="s">
        <v>545</v>
      </c>
      <c r="CJ50" s="13" t="s">
        <v>545</v>
      </c>
      <c r="CK50" s="13" t="s">
        <v>545</v>
      </c>
      <c r="CL50" s="13" t="s">
        <v>545</v>
      </c>
      <c r="CM50" s="13" t="s">
        <v>545</v>
      </c>
      <c r="CN50" s="13" t="s">
        <v>545</v>
      </c>
      <c r="CO50" s="13" t="s">
        <v>545</v>
      </c>
      <c r="CP50" s="13" t="s">
        <v>545</v>
      </c>
      <c r="CQ50" s="13">
        <v>952</v>
      </c>
      <c r="CR50" s="13">
        <v>342</v>
      </c>
      <c r="CS50" s="13">
        <v>212</v>
      </c>
      <c r="CT50" s="13">
        <v>152</v>
      </c>
      <c r="CU50" s="13">
        <v>3</v>
      </c>
      <c r="CV50" s="13">
        <v>2</v>
      </c>
      <c r="CW50" s="13" t="s">
        <v>545</v>
      </c>
      <c r="CX50" s="13">
        <v>40</v>
      </c>
      <c r="CY50" s="13">
        <v>5</v>
      </c>
      <c r="CZ50" s="13">
        <v>1</v>
      </c>
      <c r="DA50" s="13" t="s">
        <v>545</v>
      </c>
      <c r="DB50" s="13" t="s">
        <v>545</v>
      </c>
      <c r="DC50" s="32" t="s">
        <v>730</v>
      </c>
    </row>
    <row r="51" spans="1:107" ht="19">
      <c r="A51" s="9" t="s">
        <v>204</v>
      </c>
      <c r="B51" s="9" t="s">
        <v>205</v>
      </c>
      <c r="C51" s="13">
        <v>98</v>
      </c>
      <c r="D51" s="13">
        <v>7</v>
      </c>
      <c r="E51" s="13">
        <v>3</v>
      </c>
      <c r="F51" s="13">
        <v>1</v>
      </c>
      <c r="G51" s="13">
        <v>25</v>
      </c>
      <c r="H51" s="13">
        <v>10</v>
      </c>
      <c r="I51" s="13">
        <v>14</v>
      </c>
      <c r="J51" s="13">
        <v>40</v>
      </c>
      <c r="K51" s="13">
        <v>16</v>
      </c>
      <c r="L51" s="13" t="s">
        <v>545</v>
      </c>
      <c r="M51" s="13" t="s">
        <v>545</v>
      </c>
      <c r="N51" s="13">
        <v>3</v>
      </c>
      <c r="O51" s="13">
        <v>11</v>
      </c>
      <c r="P51" s="13">
        <v>8</v>
      </c>
      <c r="Q51" s="13">
        <v>2</v>
      </c>
      <c r="R51" s="13" t="s">
        <v>545</v>
      </c>
      <c r="S51" s="13" t="s">
        <v>545</v>
      </c>
      <c r="T51" s="13">
        <v>13</v>
      </c>
      <c r="U51" s="13">
        <v>45</v>
      </c>
      <c r="V51" s="13">
        <v>6</v>
      </c>
      <c r="W51" s="13">
        <v>20</v>
      </c>
      <c r="X51" s="13">
        <v>4</v>
      </c>
      <c r="Y51" s="13">
        <v>98</v>
      </c>
      <c r="Z51" s="13">
        <v>3</v>
      </c>
      <c r="AA51" s="13">
        <v>1</v>
      </c>
      <c r="AB51" s="13">
        <v>15</v>
      </c>
      <c r="AC51" s="13">
        <v>10</v>
      </c>
      <c r="AD51" s="13">
        <v>4</v>
      </c>
      <c r="AE51" s="13" t="s">
        <v>545</v>
      </c>
      <c r="AF51" s="13">
        <v>2</v>
      </c>
      <c r="AG51" s="13">
        <v>80</v>
      </c>
      <c r="AH51" s="13">
        <v>50</v>
      </c>
      <c r="AI51" s="13">
        <v>9</v>
      </c>
      <c r="AJ51" s="13">
        <v>27</v>
      </c>
      <c r="AK51" s="13">
        <v>1</v>
      </c>
      <c r="AL51" s="13">
        <v>9</v>
      </c>
      <c r="AM51" s="13">
        <v>23</v>
      </c>
      <c r="AN51" s="13">
        <v>261</v>
      </c>
      <c r="AO51" s="13">
        <v>4</v>
      </c>
      <c r="AP51" s="13">
        <v>61</v>
      </c>
      <c r="AQ51" s="13">
        <v>8</v>
      </c>
      <c r="AR51" s="13">
        <v>29</v>
      </c>
      <c r="AS51" s="13">
        <v>10</v>
      </c>
      <c r="AT51" s="13" t="s">
        <v>545</v>
      </c>
      <c r="AU51" s="13">
        <v>9</v>
      </c>
      <c r="AV51" s="13" t="s">
        <v>731</v>
      </c>
      <c r="AW51" s="13">
        <v>11</v>
      </c>
      <c r="AX51" s="13" t="s">
        <v>545</v>
      </c>
      <c r="AY51" s="13">
        <v>131</v>
      </c>
      <c r="AZ51" s="13">
        <v>226</v>
      </c>
      <c r="BA51" s="13">
        <v>56</v>
      </c>
      <c r="BB51" s="13">
        <v>5</v>
      </c>
      <c r="BC51" s="13">
        <v>15</v>
      </c>
      <c r="BD51" s="13">
        <v>96</v>
      </c>
      <c r="BE51" s="13">
        <v>29</v>
      </c>
      <c r="BF51" s="13">
        <v>854</v>
      </c>
      <c r="BG51" s="13">
        <v>61</v>
      </c>
      <c r="BH51" s="13">
        <v>104</v>
      </c>
      <c r="BI51" s="13">
        <v>66</v>
      </c>
      <c r="BJ51" s="13">
        <v>9</v>
      </c>
      <c r="BK51" s="13">
        <v>130</v>
      </c>
      <c r="BL51" s="13">
        <v>122</v>
      </c>
      <c r="BM51" s="13">
        <v>2</v>
      </c>
      <c r="BN51" s="13">
        <v>130</v>
      </c>
      <c r="BO51" s="13">
        <v>79</v>
      </c>
      <c r="BP51" s="13">
        <v>23</v>
      </c>
      <c r="BQ51" s="13">
        <v>51</v>
      </c>
      <c r="BR51" s="13">
        <v>6</v>
      </c>
      <c r="BS51" s="13">
        <v>177</v>
      </c>
      <c r="BT51" s="13">
        <v>38</v>
      </c>
      <c r="BU51" s="13">
        <v>229</v>
      </c>
      <c r="BV51" s="13">
        <v>2</v>
      </c>
      <c r="BW51" s="13">
        <v>239</v>
      </c>
      <c r="BX51" s="13">
        <v>49</v>
      </c>
      <c r="BY51" s="13">
        <v>355</v>
      </c>
      <c r="BZ51" s="13">
        <v>93</v>
      </c>
      <c r="CA51" s="13">
        <v>7</v>
      </c>
      <c r="CB51" s="13">
        <v>15</v>
      </c>
      <c r="CC51" s="13">
        <v>29</v>
      </c>
      <c r="CD51" s="13" t="s">
        <v>545</v>
      </c>
      <c r="CE51" s="13">
        <v>48</v>
      </c>
      <c r="CF51" s="13">
        <v>31</v>
      </c>
      <c r="CG51" s="13">
        <v>123</v>
      </c>
      <c r="CH51" s="13">
        <v>140</v>
      </c>
      <c r="CI51" s="13">
        <v>255</v>
      </c>
      <c r="CJ51" s="13">
        <v>91</v>
      </c>
      <c r="CK51" s="13">
        <v>32</v>
      </c>
      <c r="CL51" s="13">
        <v>8</v>
      </c>
      <c r="CM51" s="13" t="s">
        <v>545</v>
      </c>
      <c r="CN51" s="13">
        <v>5</v>
      </c>
      <c r="CO51" s="13">
        <v>252</v>
      </c>
      <c r="CP51" s="13">
        <v>76</v>
      </c>
      <c r="CQ51" s="13">
        <v>92</v>
      </c>
      <c r="CR51" s="13">
        <v>416</v>
      </c>
      <c r="CS51" s="13" t="s">
        <v>732</v>
      </c>
      <c r="CT51" s="13">
        <v>188</v>
      </c>
      <c r="CU51" s="13">
        <v>65</v>
      </c>
      <c r="CV51" s="13">
        <v>5</v>
      </c>
      <c r="CW51" s="13">
        <v>69</v>
      </c>
      <c r="CX51" s="13">
        <v>225</v>
      </c>
      <c r="CY51" s="13">
        <v>10</v>
      </c>
      <c r="CZ51" s="13">
        <v>46</v>
      </c>
      <c r="DA51" s="13">
        <v>61</v>
      </c>
      <c r="DB51" s="13" t="s">
        <v>545</v>
      </c>
      <c r="DC51" s="32" t="s">
        <v>733</v>
      </c>
    </row>
    <row r="52" spans="1:107" ht="19">
      <c r="A52" s="9" t="s">
        <v>206</v>
      </c>
      <c r="B52" s="9" t="s">
        <v>207</v>
      </c>
      <c r="C52" s="13" t="s">
        <v>545</v>
      </c>
      <c r="D52" s="13" t="s">
        <v>545</v>
      </c>
      <c r="E52" s="13">
        <v>51</v>
      </c>
      <c r="F52" s="13" t="s">
        <v>545</v>
      </c>
      <c r="G52" s="13">
        <v>195</v>
      </c>
      <c r="H52" s="13" t="s">
        <v>545</v>
      </c>
      <c r="I52" s="13">
        <v>24</v>
      </c>
      <c r="J52" s="13" t="s">
        <v>545</v>
      </c>
      <c r="K52" s="13" t="s">
        <v>545</v>
      </c>
      <c r="L52" s="13" t="s">
        <v>545</v>
      </c>
      <c r="M52" s="13" t="s">
        <v>545</v>
      </c>
      <c r="N52" s="13" t="s">
        <v>545</v>
      </c>
      <c r="O52" s="13" t="s">
        <v>545</v>
      </c>
      <c r="P52" s="13" t="s">
        <v>545</v>
      </c>
      <c r="Q52" s="13" t="s">
        <v>545</v>
      </c>
      <c r="R52" s="13" t="s">
        <v>545</v>
      </c>
      <c r="S52" s="13" t="s">
        <v>545</v>
      </c>
      <c r="T52" s="13" t="s">
        <v>545</v>
      </c>
      <c r="U52" s="13" t="s">
        <v>545</v>
      </c>
      <c r="V52" s="13" t="s">
        <v>545</v>
      </c>
      <c r="W52" s="13" t="s">
        <v>545</v>
      </c>
      <c r="X52" s="13" t="s">
        <v>545</v>
      </c>
      <c r="Y52" s="13" t="s">
        <v>545</v>
      </c>
      <c r="Z52" s="13" t="s">
        <v>545</v>
      </c>
      <c r="AA52" s="13" t="s">
        <v>545</v>
      </c>
      <c r="AB52" s="13" t="s">
        <v>545</v>
      </c>
      <c r="AC52" s="13" t="s">
        <v>545</v>
      </c>
      <c r="AD52" s="13" t="s">
        <v>545</v>
      </c>
      <c r="AE52" s="13" t="s">
        <v>545</v>
      </c>
      <c r="AF52" s="13" t="s">
        <v>545</v>
      </c>
      <c r="AG52" s="13" t="s">
        <v>545</v>
      </c>
      <c r="AH52" s="13" t="s">
        <v>545</v>
      </c>
      <c r="AI52" s="13" t="s">
        <v>545</v>
      </c>
      <c r="AJ52" s="13" t="s">
        <v>545</v>
      </c>
      <c r="AK52" s="13" t="s">
        <v>545</v>
      </c>
      <c r="AL52" s="13" t="s">
        <v>545</v>
      </c>
      <c r="AM52" s="13" t="s">
        <v>545</v>
      </c>
      <c r="AN52" s="13" t="s">
        <v>545</v>
      </c>
      <c r="AO52" s="13" t="s">
        <v>545</v>
      </c>
      <c r="AP52" s="13" t="s">
        <v>545</v>
      </c>
      <c r="AQ52" s="13" t="s">
        <v>545</v>
      </c>
      <c r="AR52" s="13">
        <v>25</v>
      </c>
      <c r="AS52" s="13" t="s">
        <v>545</v>
      </c>
      <c r="AT52" s="13" t="s">
        <v>545</v>
      </c>
      <c r="AU52" s="13" t="s">
        <v>545</v>
      </c>
      <c r="AV52" s="13" t="s">
        <v>545</v>
      </c>
      <c r="AW52" s="13">
        <v>68</v>
      </c>
      <c r="AX52" s="13" t="s">
        <v>545</v>
      </c>
      <c r="AY52" s="13">
        <v>4</v>
      </c>
      <c r="AZ52" s="13" t="s">
        <v>545</v>
      </c>
      <c r="BA52" s="13" t="s">
        <v>545</v>
      </c>
      <c r="BB52" s="13" t="s">
        <v>545</v>
      </c>
      <c r="BC52" s="13" t="s">
        <v>545</v>
      </c>
      <c r="BD52" s="13" t="s">
        <v>545</v>
      </c>
      <c r="BE52" s="13" t="s">
        <v>545</v>
      </c>
      <c r="BF52" s="13" t="s">
        <v>545</v>
      </c>
      <c r="BG52" s="13" t="s">
        <v>545</v>
      </c>
      <c r="BH52" s="13" t="s">
        <v>545</v>
      </c>
      <c r="BI52" s="13" t="s">
        <v>545</v>
      </c>
      <c r="BJ52" s="13" t="s">
        <v>545</v>
      </c>
      <c r="BK52" s="13" t="s">
        <v>545</v>
      </c>
      <c r="BL52" s="13">
        <v>527</v>
      </c>
      <c r="BM52" s="13" t="s">
        <v>545</v>
      </c>
      <c r="BN52" s="13">
        <v>8</v>
      </c>
      <c r="BO52" s="13" t="s">
        <v>545</v>
      </c>
      <c r="BP52" s="13" t="s">
        <v>545</v>
      </c>
      <c r="BQ52" s="13" t="s">
        <v>545</v>
      </c>
      <c r="BR52" s="13" t="s">
        <v>545</v>
      </c>
      <c r="BS52" s="13" t="s">
        <v>545</v>
      </c>
      <c r="BT52" s="13" t="s">
        <v>545</v>
      </c>
      <c r="BU52" s="13" t="s">
        <v>545</v>
      </c>
      <c r="BV52" s="13" t="s">
        <v>545</v>
      </c>
      <c r="BW52" s="13" t="s">
        <v>545</v>
      </c>
      <c r="BX52" s="13" t="s">
        <v>545</v>
      </c>
      <c r="BY52" s="13">
        <v>24</v>
      </c>
      <c r="BZ52" s="13" t="s">
        <v>545</v>
      </c>
      <c r="CA52" s="13" t="s">
        <v>545</v>
      </c>
      <c r="CB52" s="13" t="s">
        <v>545</v>
      </c>
      <c r="CC52" s="13" t="s">
        <v>545</v>
      </c>
      <c r="CD52" s="13" t="s">
        <v>545</v>
      </c>
      <c r="CE52" s="13" t="s">
        <v>545</v>
      </c>
      <c r="CF52" s="13" t="s">
        <v>545</v>
      </c>
      <c r="CG52" s="13" t="s">
        <v>545</v>
      </c>
      <c r="CH52" s="13" t="s">
        <v>545</v>
      </c>
      <c r="CI52" s="13" t="s">
        <v>545</v>
      </c>
      <c r="CJ52" s="13" t="s">
        <v>545</v>
      </c>
      <c r="CK52" s="13" t="s">
        <v>545</v>
      </c>
      <c r="CL52" s="13" t="s">
        <v>545</v>
      </c>
      <c r="CM52" s="13" t="s">
        <v>545</v>
      </c>
      <c r="CN52" s="13" t="s">
        <v>545</v>
      </c>
      <c r="CO52" s="13" t="s">
        <v>545</v>
      </c>
      <c r="CP52" s="13" t="s">
        <v>545</v>
      </c>
      <c r="CQ52" s="13" t="s">
        <v>545</v>
      </c>
      <c r="CR52" s="13" t="s">
        <v>545</v>
      </c>
      <c r="CS52" s="13" t="s">
        <v>545</v>
      </c>
      <c r="CT52" s="13" t="s">
        <v>545</v>
      </c>
      <c r="CU52" s="13" t="s">
        <v>545</v>
      </c>
      <c r="CV52" s="13" t="s">
        <v>545</v>
      </c>
      <c r="CW52" s="13" t="s">
        <v>545</v>
      </c>
      <c r="CX52" s="13" t="s">
        <v>545</v>
      </c>
      <c r="CY52" s="13" t="s">
        <v>545</v>
      </c>
      <c r="CZ52" s="13" t="s">
        <v>545</v>
      </c>
      <c r="DA52" s="13" t="s">
        <v>545</v>
      </c>
      <c r="DB52" s="13" t="s">
        <v>545</v>
      </c>
      <c r="DC52" s="32">
        <v>926</v>
      </c>
    </row>
    <row r="53" spans="1:107" ht="19">
      <c r="A53" s="14" t="s">
        <v>208</v>
      </c>
      <c r="B53" s="14" t="s">
        <v>209</v>
      </c>
      <c r="C53" s="15" t="s">
        <v>545</v>
      </c>
      <c r="D53" s="15" t="s">
        <v>545</v>
      </c>
      <c r="E53" s="15" t="s">
        <v>545</v>
      </c>
      <c r="F53" s="15" t="s">
        <v>545</v>
      </c>
      <c r="G53" s="15" t="s">
        <v>545</v>
      </c>
      <c r="H53" s="15" t="s">
        <v>545</v>
      </c>
      <c r="I53" s="15" t="s">
        <v>545</v>
      </c>
      <c r="J53" s="15" t="s">
        <v>545</v>
      </c>
      <c r="K53" s="15" t="s">
        <v>545</v>
      </c>
      <c r="L53" s="15" t="s">
        <v>545</v>
      </c>
      <c r="M53" s="15" t="s">
        <v>545</v>
      </c>
      <c r="N53" s="15" t="s">
        <v>545</v>
      </c>
      <c r="O53" s="15" t="s">
        <v>545</v>
      </c>
      <c r="P53" s="15" t="s">
        <v>545</v>
      </c>
      <c r="Q53" s="15" t="s">
        <v>545</v>
      </c>
      <c r="R53" s="15" t="s">
        <v>545</v>
      </c>
      <c r="S53" s="15" t="s">
        <v>545</v>
      </c>
      <c r="T53" s="15" t="s">
        <v>545</v>
      </c>
      <c r="U53" s="15" t="s">
        <v>545</v>
      </c>
      <c r="V53" s="15" t="s">
        <v>545</v>
      </c>
      <c r="W53" s="15" t="s">
        <v>545</v>
      </c>
      <c r="X53" s="15" t="s">
        <v>545</v>
      </c>
      <c r="Y53" s="15" t="s">
        <v>545</v>
      </c>
      <c r="Z53" s="15" t="s">
        <v>545</v>
      </c>
      <c r="AA53" s="15" t="s">
        <v>545</v>
      </c>
      <c r="AB53" s="15" t="s">
        <v>545</v>
      </c>
      <c r="AC53" s="15" t="s">
        <v>545</v>
      </c>
      <c r="AD53" s="15" t="s">
        <v>545</v>
      </c>
      <c r="AE53" s="15" t="s">
        <v>545</v>
      </c>
      <c r="AF53" s="15" t="s">
        <v>545</v>
      </c>
      <c r="AG53" s="15" t="s">
        <v>545</v>
      </c>
      <c r="AH53" s="15" t="s">
        <v>545</v>
      </c>
      <c r="AI53" s="15" t="s">
        <v>545</v>
      </c>
      <c r="AJ53" s="15" t="s">
        <v>545</v>
      </c>
      <c r="AK53" s="15" t="s">
        <v>545</v>
      </c>
      <c r="AL53" s="15" t="s">
        <v>545</v>
      </c>
      <c r="AM53" s="15" t="s">
        <v>545</v>
      </c>
      <c r="AN53" s="15" t="s">
        <v>545</v>
      </c>
      <c r="AO53" s="15" t="s">
        <v>545</v>
      </c>
      <c r="AP53" s="15" t="s">
        <v>545</v>
      </c>
      <c r="AQ53" s="15" t="s">
        <v>545</v>
      </c>
      <c r="AR53" s="15" t="s">
        <v>545</v>
      </c>
      <c r="AS53" s="15">
        <v>654</v>
      </c>
      <c r="AT53" s="15" t="s">
        <v>545</v>
      </c>
      <c r="AU53" s="15" t="s">
        <v>545</v>
      </c>
      <c r="AV53" s="15" t="s">
        <v>545</v>
      </c>
      <c r="AW53" s="15" t="s">
        <v>545</v>
      </c>
      <c r="AX53" s="15">
        <v>331</v>
      </c>
      <c r="AY53" s="15">
        <v>1</v>
      </c>
      <c r="AZ53" s="15" t="s">
        <v>545</v>
      </c>
      <c r="BA53" s="15" t="s">
        <v>545</v>
      </c>
      <c r="BB53" s="15" t="s">
        <v>545</v>
      </c>
      <c r="BC53" s="15" t="s">
        <v>545</v>
      </c>
      <c r="BD53" s="15" t="s">
        <v>545</v>
      </c>
      <c r="BE53" s="15" t="s">
        <v>545</v>
      </c>
      <c r="BF53" s="15" t="s">
        <v>545</v>
      </c>
      <c r="BG53" s="15" t="s">
        <v>545</v>
      </c>
      <c r="BH53" s="15" t="s">
        <v>545</v>
      </c>
      <c r="BI53" s="15" t="s">
        <v>545</v>
      </c>
      <c r="BJ53" s="15" t="s">
        <v>545</v>
      </c>
      <c r="BK53" s="15" t="s">
        <v>545</v>
      </c>
      <c r="BL53" s="15" t="s">
        <v>545</v>
      </c>
      <c r="BM53" s="15" t="s">
        <v>734</v>
      </c>
      <c r="BN53" s="15">
        <v>8</v>
      </c>
      <c r="BO53" s="15" t="s">
        <v>545</v>
      </c>
      <c r="BP53" s="15" t="s">
        <v>545</v>
      </c>
      <c r="BQ53" s="15" t="s">
        <v>545</v>
      </c>
      <c r="BR53" s="15" t="s">
        <v>545</v>
      </c>
      <c r="BS53" s="15" t="s">
        <v>545</v>
      </c>
      <c r="BT53" s="15" t="s">
        <v>545</v>
      </c>
      <c r="BU53" s="15" t="s">
        <v>545</v>
      </c>
      <c r="BV53" s="15" t="s">
        <v>545</v>
      </c>
      <c r="BW53" s="15" t="s">
        <v>545</v>
      </c>
      <c r="BX53" s="15" t="s">
        <v>545</v>
      </c>
      <c r="BY53" s="15" t="s">
        <v>545</v>
      </c>
      <c r="BZ53" s="15" t="s">
        <v>545</v>
      </c>
      <c r="CA53" s="15" t="s">
        <v>545</v>
      </c>
      <c r="CB53" s="15" t="s">
        <v>545</v>
      </c>
      <c r="CC53" s="15" t="s">
        <v>545</v>
      </c>
      <c r="CD53" s="15" t="s">
        <v>545</v>
      </c>
      <c r="CE53" s="15" t="s">
        <v>545</v>
      </c>
      <c r="CF53" s="15" t="s">
        <v>545</v>
      </c>
      <c r="CG53" s="15" t="s">
        <v>545</v>
      </c>
      <c r="CH53" s="15" t="s">
        <v>545</v>
      </c>
      <c r="CI53" s="15" t="s">
        <v>545</v>
      </c>
      <c r="CJ53" s="15" t="s">
        <v>545</v>
      </c>
      <c r="CK53" s="15" t="s">
        <v>545</v>
      </c>
      <c r="CL53" s="15" t="s">
        <v>545</v>
      </c>
      <c r="CM53" s="15" t="s">
        <v>545</v>
      </c>
      <c r="CN53" s="15" t="s">
        <v>545</v>
      </c>
      <c r="CO53" s="15" t="s">
        <v>545</v>
      </c>
      <c r="CP53" s="15" t="s">
        <v>545</v>
      </c>
      <c r="CQ53" s="15" t="s">
        <v>545</v>
      </c>
      <c r="CR53" s="15" t="s">
        <v>545</v>
      </c>
      <c r="CS53" s="15" t="s">
        <v>545</v>
      </c>
      <c r="CT53" s="15" t="s">
        <v>545</v>
      </c>
      <c r="CU53" s="15" t="s">
        <v>545</v>
      </c>
      <c r="CV53" s="15" t="s">
        <v>545</v>
      </c>
      <c r="CW53" s="15" t="s">
        <v>545</v>
      </c>
      <c r="CX53" s="15" t="s">
        <v>545</v>
      </c>
      <c r="CY53" s="15" t="s">
        <v>545</v>
      </c>
      <c r="CZ53" s="15" t="s">
        <v>545</v>
      </c>
      <c r="DA53" s="15" t="s">
        <v>545</v>
      </c>
      <c r="DB53" s="15" t="s">
        <v>545</v>
      </c>
      <c r="DC53" s="34" t="s">
        <v>735</v>
      </c>
    </row>
    <row r="54" spans="1:107" ht="19">
      <c r="A54" s="9" t="s">
        <v>210</v>
      </c>
      <c r="B54" s="9" t="s">
        <v>211</v>
      </c>
      <c r="C54" s="13">
        <v>158</v>
      </c>
      <c r="D54" s="13">
        <v>8</v>
      </c>
      <c r="E54" s="13">
        <v>23</v>
      </c>
      <c r="F54" s="13" t="s">
        <v>545</v>
      </c>
      <c r="G54" s="13">
        <v>529</v>
      </c>
      <c r="H54" s="13">
        <v>288</v>
      </c>
      <c r="I54" s="13">
        <v>113</v>
      </c>
      <c r="J54" s="13">
        <v>274</v>
      </c>
      <c r="K54" s="13">
        <v>124</v>
      </c>
      <c r="L54" s="13">
        <v>16</v>
      </c>
      <c r="M54" s="13">
        <v>134</v>
      </c>
      <c r="N54" s="13">
        <v>73</v>
      </c>
      <c r="O54" s="13">
        <v>161</v>
      </c>
      <c r="P54" s="13">
        <v>179</v>
      </c>
      <c r="Q54" s="13">
        <v>110</v>
      </c>
      <c r="R54" s="13">
        <v>200</v>
      </c>
      <c r="S54" s="13">
        <v>81</v>
      </c>
      <c r="T54" s="13">
        <v>57</v>
      </c>
      <c r="U54" s="13">
        <v>14</v>
      </c>
      <c r="V54" s="13">
        <v>1</v>
      </c>
      <c r="W54" s="13">
        <v>100</v>
      </c>
      <c r="X54" s="13">
        <v>82</v>
      </c>
      <c r="Y54" s="13">
        <v>112</v>
      </c>
      <c r="Z54" s="13">
        <v>181</v>
      </c>
      <c r="AA54" s="13">
        <v>45</v>
      </c>
      <c r="AB54" s="13">
        <v>61</v>
      </c>
      <c r="AC54" s="13">
        <v>63</v>
      </c>
      <c r="AD54" s="13">
        <v>52</v>
      </c>
      <c r="AE54" s="13">
        <v>32</v>
      </c>
      <c r="AF54" s="13">
        <v>46</v>
      </c>
      <c r="AG54" s="13">
        <v>155</v>
      </c>
      <c r="AH54" s="13">
        <v>297</v>
      </c>
      <c r="AI54" s="13">
        <v>300</v>
      </c>
      <c r="AJ54" s="13">
        <v>185</v>
      </c>
      <c r="AK54" s="13">
        <v>141</v>
      </c>
      <c r="AL54" s="13">
        <v>58</v>
      </c>
      <c r="AM54" s="13">
        <v>412</v>
      </c>
      <c r="AN54" s="13">
        <v>165</v>
      </c>
      <c r="AO54" s="13">
        <v>250</v>
      </c>
      <c r="AP54" s="13">
        <v>248</v>
      </c>
      <c r="AQ54" s="13" t="s">
        <v>736</v>
      </c>
      <c r="AR54" s="13">
        <v>2</v>
      </c>
      <c r="AS54" s="13">
        <v>256</v>
      </c>
      <c r="AT54" s="13">
        <v>64</v>
      </c>
      <c r="AU54" s="13">
        <v>77</v>
      </c>
      <c r="AV54" s="13">
        <v>82</v>
      </c>
      <c r="AW54" s="13">
        <v>6</v>
      </c>
      <c r="AX54" s="13">
        <v>131</v>
      </c>
      <c r="AY54" s="13" t="s">
        <v>737</v>
      </c>
      <c r="AZ54" s="13" t="s">
        <v>738</v>
      </c>
      <c r="BA54" s="13" t="s">
        <v>739</v>
      </c>
      <c r="BB54" s="13">
        <v>199</v>
      </c>
      <c r="BC54" s="13">
        <v>9</v>
      </c>
      <c r="BD54" s="13">
        <v>224</v>
      </c>
      <c r="BE54" s="13">
        <v>19</v>
      </c>
      <c r="BF54" s="13">
        <v>215</v>
      </c>
      <c r="BG54" s="13">
        <v>372</v>
      </c>
      <c r="BH54" s="13">
        <v>694</v>
      </c>
      <c r="BI54" s="13" t="s">
        <v>740</v>
      </c>
      <c r="BJ54" s="13">
        <v>870</v>
      </c>
      <c r="BK54" s="13">
        <v>245</v>
      </c>
      <c r="BL54" s="13">
        <v>66</v>
      </c>
      <c r="BM54" s="13">
        <v>10</v>
      </c>
      <c r="BN54" s="13">
        <v>742</v>
      </c>
      <c r="BO54" s="13">
        <v>104</v>
      </c>
      <c r="BP54" s="13">
        <v>217</v>
      </c>
      <c r="BQ54" s="13">
        <v>743</v>
      </c>
      <c r="BR54" s="13">
        <v>27</v>
      </c>
      <c r="BS54" s="13">
        <v>86</v>
      </c>
      <c r="BT54" s="13" t="s">
        <v>741</v>
      </c>
      <c r="BU54" s="13">
        <v>235</v>
      </c>
      <c r="BV54" s="13">
        <v>141</v>
      </c>
      <c r="BW54" s="13">
        <v>20</v>
      </c>
      <c r="BX54" s="13">
        <v>2</v>
      </c>
      <c r="BY54" s="13">
        <v>30</v>
      </c>
      <c r="BZ54" s="13">
        <v>34</v>
      </c>
      <c r="CA54" s="13" t="s">
        <v>545</v>
      </c>
      <c r="CB54" s="13">
        <v>26</v>
      </c>
      <c r="CC54" s="13">
        <v>76</v>
      </c>
      <c r="CD54" s="13">
        <v>45</v>
      </c>
      <c r="CE54" s="13">
        <v>158</v>
      </c>
      <c r="CF54" s="13">
        <v>217</v>
      </c>
      <c r="CG54" s="13">
        <v>421</v>
      </c>
      <c r="CH54" s="13">
        <v>40</v>
      </c>
      <c r="CI54" s="13">
        <v>119</v>
      </c>
      <c r="CJ54" s="13">
        <v>22</v>
      </c>
      <c r="CK54" s="13">
        <v>954</v>
      </c>
      <c r="CL54" s="13">
        <v>26</v>
      </c>
      <c r="CM54" s="13">
        <v>28</v>
      </c>
      <c r="CN54" s="13">
        <v>13</v>
      </c>
      <c r="CO54" s="13">
        <v>162</v>
      </c>
      <c r="CP54" s="13">
        <v>370</v>
      </c>
      <c r="CQ54" s="13" t="s">
        <v>545</v>
      </c>
      <c r="CR54" s="13">
        <v>210</v>
      </c>
      <c r="CS54" s="13">
        <v>830</v>
      </c>
      <c r="CT54" s="13">
        <v>571</v>
      </c>
      <c r="CU54" s="13">
        <v>19</v>
      </c>
      <c r="CV54" s="13">
        <v>21</v>
      </c>
      <c r="CW54" s="13">
        <v>176</v>
      </c>
      <c r="CX54" s="13">
        <v>356</v>
      </c>
      <c r="CY54" s="13">
        <v>134</v>
      </c>
      <c r="CZ54" s="13">
        <v>6</v>
      </c>
      <c r="DA54" s="13">
        <v>159</v>
      </c>
      <c r="DB54" s="13" t="s">
        <v>545</v>
      </c>
      <c r="DC54" s="32" t="s">
        <v>742</v>
      </c>
    </row>
    <row r="55" spans="1:107" ht="19">
      <c r="A55" s="9" t="s">
        <v>212</v>
      </c>
      <c r="B55" s="9" t="s">
        <v>213</v>
      </c>
      <c r="C55" s="13">
        <v>455</v>
      </c>
      <c r="D55" s="13">
        <v>5</v>
      </c>
      <c r="E55" s="13">
        <v>30</v>
      </c>
      <c r="F55" s="13">
        <v>2</v>
      </c>
      <c r="G55" s="13">
        <v>124</v>
      </c>
      <c r="H55" s="13">
        <v>350</v>
      </c>
      <c r="I55" s="13">
        <v>70</v>
      </c>
      <c r="J55" s="13">
        <v>418</v>
      </c>
      <c r="K55" s="13">
        <v>213</v>
      </c>
      <c r="L55" s="13">
        <v>13</v>
      </c>
      <c r="M55" s="13">
        <v>148</v>
      </c>
      <c r="N55" s="13">
        <v>158</v>
      </c>
      <c r="O55" s="13">
        <v>289</v>
      </c>
      <c r="P55" s="13">
        <v>335</v>
      </c>
      <c r="Q55" s="13">
        <v>133</v>
      </c>
      <c r="R55" s="13">
        <v>195</v>
      </c>
      <c r="S55" s="13">
        <v>96</v>
      </c>
      <c r="T55" s="13">
        <v>90</v>
      </c>
      <c r="U55" s="13">
        <v>19</v>
      </c>
      <c r="V55" s="13">
        <v>8</v>
      </c>
      <c r="W55" s="13">
        <v>184</v>
      </c>
      <c r="X55" s="13">
        <v>400</v>
      </c>
      <c r="Y55" s="13">
        <v>201</v>
      </c>
      <c r="Z55" s="13">
        <v>275</v>
      </c>
      <c r="AA55" s="13">
        <v>39</v>
      </c>
      <c r="AB55" s="13">
        <v>85</v>
      </c>
      <c r="AC55" s="13">
        <v>51</v>
      </c>
      <c r="AD55" s="13">
        <v>383</v>
      </c>
      <c r="AE55" s="13">
        <v>161</v>
      </c>
      <c r="AF55" s="13">
        <v>63</v>
      </c>
      <c r="AG55" s="13">
        <v>252</v>
      </c>
      <c r="AH55" s="13">
        <v>633</v>
      </c>
      <c r="AI55" s="13">
        <v>234</v>
      </c>
      <c r="AJ55" s="13">
        <v>350</v>
      </c>
      <c r="AK55" s="13">
        <v>143</v>
      </c>
      <c r="AL55" s="13">
        <v>181</v>
      </c>
      <c r="AM55" s="13">
        <v>642</v>
      </c>
      <c r="AN55" s="13">
        <v>209</v>
      </c>
      <c r="AO55" s="13">
        <v>108</v>
      </c>
      <c r="AP55" s="13">
        <v>339</v>
      </c>
      <c r="AQ55" s="13">
        <v>477</v>
      </c>
      <c r="AR55" s="13">
        <v>63</v>
      </c>
      <c r="AS55" s="13">
        <v>185</v>
      </c>
      <c r="AT55" s="13">
        <v>18</v>
      </c>
      <c r="AU55" s="13">
        <v>100</v>
      </c>
      <c r="AV55" s="13">
        <v>154</v>
      </c>
      <c r="AW55" s="13">
        <v>5</v>
      </c>
      <c r="AX55" s="13">
        <v>28</v>
      </c>
      <c r="AY55" s="13">
        <v>138</v>
      </c>
      <c r="AZ55" s="13" t="s">
        <v>743</v>
      </c>
      <c r="BA55" s="13" t="s">
        <v>744</v>
      </c>
      <c r="BB55" s="13">
        <v>970</v>
      </c>
      <c r="BC55" s="13">
        <v>301</v>
      </c>
      <c r="BD55" s="13">
        <v>204</v>
      </c>
      <c r="BE55" s="13">
        <v>3</v>
      </c>
      <c r="BF55" s="13">
        <v>983</v>
      </c>
      <c r="BG55" s="13">
        <v>647</v>
      </c>
      <c r="BH55" s="13" t="s">
        <v>745</v>
      </c>
      <c r="BI55" s="13" t="s">
        <v>746</v>
      </c>
      <c r="BJ55" s="13">
        <v>571</v>
      </c>
      <c r="BK55" s="13">
        <v>269</v>
      </c>
      <c r="BL55" s="13">
        <v>14</v>
      </c>
      <c r="BM55" s="13">
        <v>20</v>
      </c>
      <c r="BN55" s="13">
        <v>794</v>
      </c>
      <c r="BO55" s="13">
        <v>121</v>
      </c>
      <c r="BP55" s="13" t="s">
        <v>747</v>
      </c>
      <c r="BQ55" s="13" t="s">
        <v>748</v>
      </c>
      <c r="BR55" s="13">
        <v>44</v>
      </c>
      <c r="BS55" s="13">
        <v>233</v>
      </c>
      <c r="BT55" s="13">
        <v>890</v>
      </c>
      <c r="BU55" s="13">
        <v>643</v>
      </c>
      <c r="BV55" s="13">
        <v>303</v>
      </c>
      <c r="BW55" s="13">
        <v>526</v>
      </c>
      <c r="BX55" s="13">
        <v>29</v>
      </c>
      <c r="BY55" s="13">
        <v>606</v>
      </c>
      <c r="BZ55" s="13">
        <v>492</v>
      </c>
      <c r="CA55" s="13" t="s">
        <v>749</v>
      </c>
      <c r="CB55" s="13">
        <v>181</v>
      </c>
      <c r="CC55" s="13">
        <v>221</v>
      </c>
      <c r="CD55" s="13">
        <v>85</v>
      </c>
      <c r="CE55" s="13">
        <v>301</v>
      </c>
      <c r="CF55" s="13">
        <v>278</v>
      </c>
      <c r="CG55" s="13">
        <v>238</v>
      </c>
      <c r="CH55" s="13">
        <v>40</v>
      </c>
      <c r="CI55" s="13">
        <v>94</v>
      </c>
      <c r="CJ55" s="13">
        <v>41</v>
      </c>
      <c r="CK55" s="13">
        <v>123</v>
      </c>
      <c r="CL55" s="13">
        <v>141</v>
      </c>
      <c r="CM55" s="13">
        <v>159</v>
      </c>
      <c r="CN55" s="13">
        <v>9</v>
      </c>
      <c r="CO55" s="13">
        <v>190</v>
      </c>
      <c r="CP55" s="13">
        <v>446</v>
      </c>
      <c r="CQ55" s="13" t="s">
        <v>750</v>
      </c>
      <c r="CR55" s="13" t="s">
        <v>751</v>
      </c>
      <c r="CS55" s="13" t="s">
        <v>752</v>
      </c>
      <c r="CT55" s="13">
        <v>547</v>
      </c>
      <c r="CU55" s="13">
        <v>196</v>
      </c>
      <c r="CV55" s="13">
        <v>100</v>
      </c>
      <c r="CW55" s="13">
        <v>73</v>
      </c>
      <c r="CX55" s="13">
        <v>659</v>
      </c>
      <c r="CY55" s="13">
        <v>150</v>
      </c>
      <c r="CZ55" s="13">
        <v>19</v>
      </c>
      <c r="DA55" s="13">
        <v>199</v>
      </c>
      <c r="DB55" s="13" t="s">
        <v>545</v>
      </c>
      <c r="DC55" s="32" t="s">
        <v>753</v>
      </c>
    </row>
    <row r="56" spans="1:107" ht="19">
      <c r="A56" s="9" t="s">
        <v>214</v>
      </c>
      <c r="B56" s="9" t="s">
        <v>215</v>
      </c>
      <c r="C56" s="13">
        <v>1</v>
      </c>
      <c r="D56" s="13">
        <v>2</v>
      </c>
      <c r="E56" s="13">
        <v>1</v>
      </c>
      <c r="F56" s="13" t="s">
        <v>545</v>
      </c>
      <c r="G56" s="13">
        <v>14</v>
      </c>
      <c r="H56" s="13">
        <v>68</v>
      </c>
      <c r="I56" s="13">
        <v>6</v>
      </c>
      <c r="J56" s="13">
        <v>94</v>
      </c>
      <c r="K56" s="13">
        <v>132</v>
      </c>
      <c r="L56" s="13">
        <v>58</v>
      </c>
      <c r="M56" s="13">
        <v>92</v>
      </c>
      <c r="N56" s="13">
        <v>103</v>
      </c>
      <c r="O56" s="13">
        <v>220</v>
      </c>
      <c r="P56" s="13">
        <v>440</v>
      </c>
      <c r="Q56" s="13">
        <v>65</v>
      </c>
      <c r="R56" s="13">
        <v>266</v>
      </c>
      <c r="S56" s="13">
        <v>19</v>
      </c>
      <c r="T56" s="13">
        <v>27</v>
      </c>
      <c r="U56" s="13">
        <v>9</v>
      </c>
      <c r="V56" s="13">
        <v>5</v>
      </c>
      <c r="W56" s="13">
        <v>98</v>
      </c>
      <c r="X56" s="13">
        <v>417</v>
      </c>
      <c r="Y56" s="13">
        <v>45</v>
      </c>
      <c r="Z56" s="13">
        <v>28</v>
      </c>
      <c r="AA56" s="13">
        <v>8</v>
      </c>
      <c r="AB56" s="13">
        <v>34</v>
      </c>
      <c r="AC56" s="13">
        <v>24</v>
      </c>
      <c r="AD56" s="13">
        <v>302</v>
      </c>
      <c r="AE56" s="13">
        <v>369</v>
      </c>
      <c r="AF56" s="13">
        <v>113</v>
      </c>
      <c r="AG56" s="13">
        <v>169</v>
      </c>
      <c r="AH56" s="13">
        <v>290</v>
      </c>
      <c r="AI56" s="13">
        <v>147</v>
      </c>
      <c r="AJ56" s="13">
        <v>325</v>
      </c>
      <c r="AK56" s="13">
        <v>118</v>
      </c>
      <c r="AL56" s="13">
        <v>91</v>
      </c>
      <c r="AM56" s="13">
        <v>297</v>
      </c>
      <c r="AN56" s="13">
        <v>58</v>
      </c>
      <c r="AO56" s="13">
        <v>37</v>
      </c>
      <c r="AP56" s="13">
        <v>127</v>
      </c>
      <c r="AQ56" s="13">
        <v>171</v>
      </c>
      <c r="AR56" s="13">
        <v>11</v>
      </c>
      <c r="AS56" s="13">
        <v>75</v>
      </c>
      <c r="AT56" s="13">
        <v>6</v>
      </c>
      <c r="AU56" s="13">
        <v>31</v>
      </c>
      <c r="AV56" s="13">
        <v>17</v>
      </c>
      <c r="AW56" s="13" t="s">
        <v>545</v>
      </c>
      <c r="AX56" s="13">
        <v>19</v>
      </c>
      <c r="AY56" s="13">
        <v>176</v>
      </c>
      <c r="AZ56" s="13" t="s">
        <v>754</v>
      </c>
      <c r="BA56" s="13" t="s">
        <v>755</v>
      </c>
      <c r="BB56" s="13">
        <v>25</v>
      </c>
      <c r="BC56" s="13">
        <v>2</v>
      </c>
      <c r="BD56" s="13">
        <v>43</v>
      </c>
      <c r="BE56" s="13">
        <v>2</v>
      </c>
      <c r="BF56" s="13">
        <v>887</v>
      </c>
      <c r="BG56" s="13">
        <v>127</v>
      </c>
      <c r="BH56" s="13">
        <v>269</v>
      </c>
      <c r="BI56" s="13">
        <v>639</v>
      </c>
      <c r="BJ56" s="13">
        <v>7</v>
      </c>
      <c r="BK56" s="13">
        <v>50</v>
      </c>
      <c r="BL56" s="13" t="s">
        <v>545</v>
      </c>
      <c r="BM56" s="13">
        <v>23</v>
      </c>
      <c r="BN56" s="13">
        <v>112</v>
      </c>
      <c r="BO56" s="13">
        <v>32</v>
      </c>
      <c r="BP56" s="13">
        <v>237</v>
      </c>
      <c r="BQ56" s="13">
        <v>628</v>
      </c>
      <c r="BR56" s="13">
        <v>6</v>
      </c>
      <c r="BS56" s="13">
        <v>40</v>
      </c>
      <c r="BT56" s="13">
        <v>23</v>
      </c>
      <c r="BU56" s="13">
        <v>30</v>
      </c>
      <c r="BV56" s="13">
        <v>23</v>
      </c>
      <c r="BW56" s="13">
        <v>104</v>
      </c>
      <c r="BX56" s="13">
        <v>7</v>
      </c>
      <c r="BY56" s="13">
        <v>49</v>
      </c>
      <c r="BZ56" s="13">
        <v>256</v>
      </c>
      <c r="CA56" s="13" t="s">
        <v>545</v>
      </c>
      <c r="CB56" s="13">
        <v>38</v>
      </c>
      <c r="CC56" s="13">
        <v>50</v>
      </c>
      <c r="CD56" s="13">
        <v>12</v>
      </c>
      <c r="CE56" s="13">
        <v>43</v>
      </c>
      <c r="CF56" s="13">
        <v>97</v>
      </c>
      <c r="CG56" s="13">
        <v>72</v>
      </c>
      <c r="CH56" s="13">
        <v>10</v>
      </c>
      <c r="CI56" s="13">
        <v>18</v>
      </c>
      <c r="CJ56" s="13">
        <v>10</v>
      </c>
      <c r="CK56" s="13">
        <v>39</v>
      </c>
      <c r="CL56" s="13">
        <v>56</v>
      </c>
      <c r="CM56" s="13">
        <v>45</v>
      </c>
      <c r="CN56" s="13">
        <v>1</v>
      </c>
      <c r="CO56" s="13">
        <v>122</v>
      </c>
      <c r="CP56" s="13">
        <v>51</v>
      </c>
      <c r="CQ56" s="13">
        <v>601</v>
      </c>
      <c r="CR56" s="13">
        <v>695</v>
      </c>
      <c r="CS56" s="13" t="s">
        <v>756</v>
      </c>
      <c r="CT56" s="13">
        <v>362</v>
      </c>
      <c r="CU56" s="13">
        <v>48</v>
      </c>
      <c r="CV56" s="13">
        <v>38</v>
      </c>
      <c r="CW56" s="13">
        <v>90</v>
      </c>
      <c r="CX56" s="13">
        <v>345</v>
      </c>
      <c r="CY56" s="13">
        <v>218</v>
      </c>
      <c r="CZ56" s="13">
        <v>2</v>
      </c>
      <c r="DA56" s="13">
        <v>85</v>
      </c>
      <c r="DB56" s="13" t="s">
        <v>545</v>
      </c>
      <c r="DC56" s="32" t="s">
        <v>757</v>
      </c>
    </row>
    <row r="57" spans="1:107" ht="19">
      <c r="A57" s="9" t="s">
        <v>216</v>
      </c>
      <c r="B57" s="9" t="s">
        <v>217</v>
      </c>
      <c r="C57" s="13">
        <v>46</v>
      </c>
      <c r="D57" s="13" t="s">
        <v>545</v>
      </c>
      <c r="E57" s="13">
        <v>5</v>
      </c>
      <c r="F57" s="13">
        <v>1</v>
      </c>
      <c r="G57" s="13">
        <v>9</v>
      </c>
      <c r="H57" s="13">
        <v>11</v>
      </c>
      <c r="I57" s="13">
        <v>4</v>
      </c>
      <c r="J57" s="13">
        <v>49</v>
      </c>
      <c r="K57" s="13">
        <v>37</v>
      </c>
      <c r="L57" s="13">
        <v>6</v>
      </c>
      <c r="M57" s="13">
        <v>23</v>
      </c>
      <c r="N57" s="13">
        <v>22</v>
      </c>
      <c r="O57" s="13">
        <v>21</v>
      </c>
      <c r="P57" s="13">
        <v>47</v>
      </c>
      <c r="Q57" s="13">
        <v>10</v>
      </c>
      <c r="R57" s="13">
        <v>46</v>
      </c>
      <c r="S57" s="13">
        <v>31</v>
      </c>
      <c r="T57" s="13">
        <v>9</v>
      </c>
      <c r="U57" s="13">
        <v>3</v>
      </c>
      <c r="V57" s="13">
        <v>2</v>
      </c>
      <c r="W57" s="13">
        <v>16</v>
      </c>
      <c r="X57" s="13">
        <v>38</v>
      </c>
      <c r="Y57" s="13">
        <v>14</v>
      </c>
      <c r="Z57" s="13">
        <v>33</v>
      </c>
      <c r="AA57" s="13">
        <v>5</v>
      </c>
      <c r="AB57" s="13">
        <v>15</v>
      </c>
      <c r="AC57" s="13">
        <v>8</v>
      </c>
      <c r="AD57" s="13">
        <v>22</v>
      </c>
      <c r="AE57" s="13">
        <v>28</v>
      </c>
      <c r="AF57" s="13">
        <v>13</v>
      </c>
      <c r="AG57" s="13">
        <v>13</v>
      </c>
      <c r="AH57" s="13">
        <v>24</v>
      </c>
      <c r="AI57" s="13">
        <v>9</v>
      </c>
      <c r="AJ57" s="13">
        <v>18</v>
      </c>
      <c r="AK57" s="13">
        <v>16</v>
      </c>
      <c r="AL57" s="13">
        <v>5</v>
      </c>
      <c r="AM57" s="13">
        <v>54</v>
      </c>
      <c r="AN57" s="13">
        <v>16</v>
      </c>
      <c r="AO57" s="13">
        <v>9</v>
      </c>
      <c r="AP57" s="13">
        <v>21</v>
      </c>
      <c r="AQ57" s="13">
        <v>18</v>
      </c>
      <c r="AR57" s="13">
        <v>10</v>
      </c>
      <c r="AS57" s="13">
        <v>20</v>
      </c>
      <c r="AT57" s="13">
        <v>2</v>
      </c>
      <c r="AU57" s="13">
        <v>7</v>
      </c>
      <c r="AV57" s="13">
        <v>33</v>
      </c>
      <c r="AW57" s="13">
        <v>1</v>
      </c>
      <c r="AX57" s="13">
        <v>6</v>
      </c>
      <c r="AY57" s="13">
        <v>6</v>
      </c>
      <c r="AZ57" s="13">
        <v>93</v>
      </c>
      <c r="BA57" s="13">
        <v>4</v>
      </c>
      <c r="BB57" s="13" t="s">
        <v>758</v>
      </c>
      <c r="BC57" s="13">
        <v>281</v>
      </c>
      <c r="BD57" s="13">
        <v>202</v>
      </c>
      <c r="BE57" s="13">
        <v>2</v>
      </c>
      <c r="BF57" s="13">
        <v>301</v>
      </c>
      <c r="BG57" s="13">
        <v>132</v>
      </c>
      <c r="BH57" s="13">
        <v>122</v>
      </c>
      <c r="BI57" s="13">
        <v>331</v>
      </c>
      <c r="BJ57" s="13">
        <v>11</v>
      </c>
      <c r="BK57" s="13">
        <v>40</v>
      </c>
      <c r="BL57" s="13">
        <v>5</v>
      </c>
      <c r="BM57" s="13">
        <v>6</v>
      </c>
      <c r="BN57" s="13">
        <v>74</v>
      </c>
      <c r="BO57" s="13">
        <v>12</v>
      </c>
      <c r="BP57" s="13">
        <v>306</v>
      </c>
      <c r="BQ57" s="13">
        <v>356</v>
      </c>
      <c r="BR57" s="13">
        <v>3</v>
      </c>
      <c r="BS57" s="13">
        <v>16</v>
      </c>
      <c r="BT57" s="13">
        <v>13</v>
      </c>
      <c r="BU57" s="13">
        <v>23</v>
      </c>
      <c r="BV57" s="13">
        <v>4</v>
      </c>
      <c r="BW57" s="13">
        <v>7</v>
      </c>
      <c r="BX57" s="13">
        <v>118</v>
      </c>
      <c r="BY57" s="13" t="s">
        <v>545</v>
      </c>
      <c r="BZ57" s="13">
        <v>84</v>
      </c>
      <c r="CA57" s="13" t="s">
        <v>545</v>
      </c>
      <c r="CB57" s="13">
        <v>26</v>
      </c>
      <c r="CC57" s="13">
        <v>31</v>
      </c>
      <c r="CD57" s="13">
        <v>9</v>
      </c>
      <c r="CE57" s="13">
        <v>18</v>
      </c>
      <c r="CF57" s="13">
        <v>65</v>
      </c>
      <c r="CG57" s="13">
        <v>14</v>
      </c>
      <c r="CH57" s="13">
        <v>96</v>
      </c>
      <c r="CI57" s="13">
        <v>3</v>
      </c>
      <c r="CJ57" s="13">
        <v>6</v>
      </c>
      <c r="CK57" s="13">
        <v>39</v>
      </c>
      <c r="CL57" s="13">
        <v>30</v>
      </c>
      <c r="CM57" s="13">
        <v>6</v>
      </c>
      <c r="CN57" s="13">
        <v>5</v>
      </c>
      <c r="CO57" s="13">
        <v>45</v>
      </c>
      <c r="CP57" s="13">
        <v>53</v>
      </c>
      <c r="CQ57" s="13">
        <v>450</v>
      </c>
      <c r="CR57" s="13">
        <v>248</v>
      </c>
      <c r="CS57" s="13">
        <v>229</v>
      </c>
      <c r="CT57" s="13">
        <v>260</v>
      </c>
      <c r="CU57" s="13">
        <v>42</v>
      </c>
      <c r="CV57" s="13">
        <v>33</v>
      </c>
      <c r="CW57" s="13">
        <v>14</v>
      </c>
      <c r="CX57" s="13">
        <v>154</v>
      </c>
      <c r="CY57" s="13">
        <v>30</v>
      </c>
      <c r="CZ57" s="13">
        <v>18</v>
      </c>
      <c r="DA57" s="13">
        <v>66</v>
      </c>
      <c r="DB57" s="13" t="s">
        <v>545</v>
      </c>
      <c r="DC57" s="32" t="s">
        <v>759</v>
      </c>
    </row>
    <row r="58" spans="1:107" ht="19">
      <c r="A58" s="9" t="s">
        <v>218</v>
      </c>
      <c r="B58" s="9" t="s">
        <v>219</v>
      </c>
      <c r="C58" s="13">
        <v>8</v>
      </c>
      <c r="D58" s="13" t="s">
        <v>545</v>
      </c>
      <c r="E58" s="13">
        <v>2</v>
      </c>
      <c r="F58" s="13" t="s">
        <v>545</v>
      </c>
      <c r="G58" s="13">
        <v>3</v>
      </c>
      <c r="H58" s="13" t="s">
        <v>545</v>
      </c>
      <c r="I58" s="13" t="s">
        <v>545</v>
      </c>
      <c r="J58" s="13">
        <v>40</v>
      </c>
      <c r="K58" s="13">
        <v>17</v>
      </c>
      <c r="L58" s="13">
        <v>3</v>
      </c>
      <c r="M58" s="13">
        <v>18</v>
      </c>
      <c r="N58" s="13">
        <v>1</v>
      </c>
      <c r="O58" s="13">
        <v>8</v>
      </c>
      <c r="P58" s="13">
        <v>31</v>
      </c>
      <c r="Q58" s="13" t="s">
        <v>545</v>
      </c>
      <c r="R58" s="13">
        <v>22</v>
      </c>
      <c r="S58" s="13">
        <v>4</v>
      </c>
      <c r="T58" s="13">
        <v>6</v>
      </c>
      <c r="U58" s="13" t="s">
        <v>545</v>
      </c>
      <c r="V58" s="13">
        <v>2</v>
      </c>
      <c r="W58" s="13">
        <v>2</v>
      </c>
      <c r="X58" s="13">
        <v>23</v>
      </c>
      <c r="Y58" s="13">
        <v>1</v>
      </c>
      <c r="Z58" s="13">
        <v>6</v>
      </c>
      <c r="AA58" s="13" t="s">
        <v>545</v>
      </c>
      <c r="AB58" s="13" t="s">
        <v>545</v>
      </c>
      <c r="AC58" s="13">
        <v>6</v>
      </c>
      <c r="AD58" s="13">
        <v>1</v>
      </c>
      <c r="AE58" s="13">
        <v>38</v>
      </c>
      <c r="AF58" s="13">
        <v>31</v>
      </c>
      <c r="AG58" s="13">
        <v>29</v>
      </c>
      <c r="AH58" s="13">
        <v>9</v>
      </c>
      <c r="AI58" s="13">
        <v>1</v>
      </c>
      <c r="AJ58" s="13">
        <v>1</v>
      </c>
      <c r="AK58" s="13" t="s">
        <v>545</v>
      </c>
      <c r="AL58" s="13">
        <v>3</v>
      </c>
      <c r="AM58" s="13">
        <v>50</v>
      </c>
      <c r="AN58" s="13">
        <v>5</v>
      </c>
      <c r="AO58" s="13" t="s">
        <v>545</v>
      </c>
      <c r="AP58" s="13">
        <v>11</v>
      </c>
      <c r="AQ58" s="13">
        <v>6</v>
      </c>
      <c r="AR58" s="13">
        <v>7</v>
      </c>
      <c r="AS58" s="13">
        <v>18</v>
      </c>
      <c r="AT58" s="13" t="s">
        <v>545</v>
      </c>
      <c r="AU58" s="13">
        <v>5</v>
      </c>
      <c r="AV58" s="13" t="s">
        <v>545</v>
      </c>
      <c r="AW58" s="13">
        <v>1</v>
      </c>
      <c r="AX58" s="13" t="s">
        <v>545</v>
      </c>
      <c r="AY58" s="13" t="s">
        <v>545</v>
      </c>
      <c r="AZ58" s="13">
        <v>2</v>
      </c>
      <c r="BA58" s="13" t="s">
        <v>545</v>
      </c>
      <c r="BB58" s="13">
        <v>93</v>
      </c>
      <c r="BC58" s="13">
        <v>519</v>
      </c>
      <c r="BD58" s="13" t="s">
        <v>760</v>
      </c>
      <c r="BE58" s="13" t="s">
        <v>545</v>
      </c>
      <c r="BF58" s="13">
        <v>302</v>
      </c>
      <c r="BG58" s="13">
        <v>14</v>
      </c>
      <c r="BH58" s="13">
        <v>118</v>
      </c>
      <c r="BI58" s="13">
        <v>117</v>
      </c>
      <c r="BJ58" s="13" t="s">
        <v>545</v>
      </c>
      <c r="BK58" s="13">
        <v>22</v>
      </c>
      <c r="BL58" s="13" t="s">
        <v>545</v>
      </c>
      <c r="BM58" s="13">
        <v>4</v>
      </c>
      <c r="BN58" s="13">
        <v>15</v>
      </c>
      <c r="BO58" s="13">
        <v>7</v>
      </c>
      <c r="BP58" s="13">
        <v>72</v>
      </c>
      <c r="BQ58" s="13">
        <v>51</v>
      </c>
      <c r="BR58" s="13">
        <v>1</v>
      </c>
      <c r="BS58" s="13">
        <v>2</v>
      </c>
      <c r="BT58" s="13">
        <v>1</v>
      </c>
      <c r="BU58" s="13">
        <v>7</v>
      </c>
      <c r="BV58" s="13">
        <v>4</v>
      </c>
      <c r="BW58" s="13">
        <v>11</v>
      </c>
      <c r="BX58" s="13">
        <v>7</v>
      </c>
      <c r="BY58" s="13">
        <v>19</v>
      </c>
      <c r="BZ58" s="13">
        <v>17</v>
      </c>
      <c r="CA58" s="13">
        <v>6</v>
      </c>
      <c r="CB58" s="13">
        <v>5</v>
      </c>
      <c r="CC58" s="13">
        <v>7</v>
      </c>
      <c r="CD58" s="13">
        <v>1</v>
      </c>
      <c r="CE58" s="13">
        <v>8</v>
      </c>
      <c r="CF58" s="13">
        <v>25</v>
      </c>
      <c r="CG58" s="13">
        <v>1</v>
      </c>
      <c r="CH58" s="13">
        <v>1</v>
      </c>
      <c r="CI58" s="13">
        <v>22</v>
      </c>
      <c r="CJ58" s="13" t="s">
        <v>545</v>
      </c>
      <c r="CK58" s="13">
        <v>7</v>
      </c>
      <c r="CL58" s="13">
        <v>1</v>
      </c>
      <c r="CM58" s="13">
        <v>1</v>
      </c>
      <c r="CN58" s="13" t="s">
        <v>545</v>
      </c>
      <c r="CO58" s="13">
        <v>70</v>
      </c>
      <c r="CP58" s="13">
        <v>18</v>
      </c>
      <c r="CQ58" s="13" t="s">
        <v>761</v>
      </c>
      <c r="CR58" s="13">
        <v>65</v>
      </c>
      <c r="CS58" s="13">
        <v>606</v>
      </c>
      <c r="CT58" s="13">
        <v>59</v>
      </c>
      <c r="CU58" s="13">
        <v>2</v>
      </c>
      <c r="CV58" s="13">
        <v>6</v>
      </c>
      <c r="CW58" s="13">
        <v>14</v>
      </c>
      <c r="CX58" s="13">
        <v>37</v>
      </c>
      <c r="CY58" s="13" t="s">
        <v>545</v>
      </c>
      <c r="CZ58" s="13">
        <v>1</v>
      </c>
      <c r="DA58" s="13">
        <v>27</v>
      </c>
      <c r="DB58" s="13" t="s">
        <v>545</v>
      </c>
      <c r="DC58" s="32" t="s">
        <v>762</v>
      </c>
    </row>
    <row r="59" spans="1:107" ht="19">
      <c r="A59" s="9" t="s">
        <v>220</v>
      </c>
      <c r="B59" s="9" t="s">
        <v>221</v>
      </c>
      <c r="C59" s="13">
        <v>204</v>
      </c>
      <c r="D59" s="13" t="s">
        <v>545</v>
      </c>
      <c r="E59" s="13">
        <v>20</v>
      </c>
      <c r="F59" s="13">
        <v>1</v>
      </c>
      <c r="G59" s="13">
        <v>24</v>
      </c>
      <c r="H59" s="13">
        <v>28</v>
      </c>
      <c r="I59" s="13">
        <v>4</v>
      </c>
      <c r="J59" s="13">
        <v>79</v>
      </c>
      <c r="K59" s="13">
        <v>35</v>
      </c>
      <c r="L59" s="13">
        <v>6</v>
      </c>
      <c r="M59" s="13">
        <v>32</v>
      </c>
      <c r="N59" s="13">
        <v>10</v>
      </c>
      <c r="O59" s="13">
        <v>34</v>
      </c>
      <c r="P59" s="13">
        <v>57</v>
      </c>
      <c r="Q59" s="13">
        <v>16</v>
      </c>
      <c r="R59" s="13">
        <v>78</v>
      </c>
      <c r="S59" s="13">
        <v>27</v>
      </c>
      <c r="T59" s="13">
        <v>15</v>
      </c>
      <c r="U59" s="13" t="s">
        <v>545</v>
      </c>
      <c r="V59" s="13">
        <v>3</v>
      </c>
      <c r="W59" s="13">
        <v>36</v>
      </c>
      <c r="X59" s="13">
        <v>97</v>
      </c>
      <c r="Y59" s="13">
        <v>17</v>
      </c>
      <c r="Z59" s="13">
        <v>73</v>
      </c>
      <c r="AA59" s="13">
        <v>16</v>
      </c>
      <c r="AB59" s="13">
        <v>15</v>
      </c>
      <c r="AC59" s="13">
        <v>14</v>
      </c>
      <c r="AD59" s="13">
        <v>35</v>
      </c>
      <c r="AE59" s="13">
        <v>48</v>
      </c>
      <c r="AF59" s="13">
        <v>45</v>
      </c>
      <c r="AG59" s="13">
        <v>44</v>
      </c>
      <c r="AH59" s="13">
        <v>87</v>
      </c>
      <c r="AI59" s="13">
        <v>18</v>
      </c>
      <c r="AJ59" s="13">
        <v>32</v>
      </c>
      <c r="AK59" s="13">
        <v>311</v>
      </c>
      <c r="AL59" s="13">
        <v>31</v>
      </c>
      <c r="AM59" s="13">
        <v>47</v>
      </c>
      <c r="AN59" s="13">
        <v>14</v>
      </c>
      <c r="AO59" s="13">
        <v>14</v>
      </c>
      <c r="AP59" s="13">
        <v>47</v>
      </c>
      <c r="AQ59" s="13">
        <v>139</v>
      </c>
      <c r="AR59" s="13">
        <v>36</v>
      </c>
      <c r="AS59" s="13">
        <v>20</v>
      </c>
      <c r="AT59" s="13">
        <v>5</v>
      </c>
      <c r="AU59" s="13">
        <v>15</v>
      </c>
      <c r="AV59" s="13">
        <v>34</v>
      </c>
      <c r="AW59" s="13">
        <v>1</v>
      </c>
      <c r="AX59" s="13">
        <v>7</v>
      </c>
      <c r="AY59" s="13">
        <v>36</v>
      </c>
      <c r="AZ59" s="13">
        <v>587</v>
      </c>
      <c r="BA59" s="13">
        <v>9</v>
      </c>
      <c r="BB59" s="13">
        <v>112</v>
      </c>
      <c r="BC59" s="13">
        <v>128</v>
      </c>
      <c r="BD59" s="13" t="s">
        <v>763</v>
      </c>
      <c r="BE59" s="13">
        <v>38</v>
      </c>
      <c r="BF59" s="13">
        <v>699</v>
      </c>
      <c r="BG59" s="13">
        <v>150</v>
      </c>
      <c r="BH59" s="13">
        <v>422</v>
      </c>
      <c r="BI59" s="13">
        <v>638</v>
      </c>
      <c r="BJ59" s="13">
        <v>8</v>
      </c>
      <c r="BK59" s="13">
        <v>164</v>
      </c>
      <c r="BL59" s="13">
        <v>11</v>
      </c>
      <c r="BM59" s="13">
        <v>2</v>
      </c>
      <c r="BN59" s="13">
        <v>182</v>
      </c>
      <c r="BO59" s="13">
        <v>35</v>
      </c>
      <c r="BP59" s="13">
        <v>151</v>
      </c>
      <c r="BQ59" s="13">
        <v>412</v>
      </c>
      <c r="BR59" s="13">
        <v>12</v>
      </c>
      <c r="BS59" s="13">
        <v>19</v>
      </c>
      <c r="BT59" s="13">
        <v>6</v>
      </c>
      <c r="BU59" s="13">
        <v>29</v>
      </c>
      <c r="BV59" s="13">
        <v>4</v>
      </c>
      <c r="BW59" s="13">
        <v>73</v>
      </c>
      <c r="BX59" s="13">
        <v>9</v>
      </c>
      <c r="BY59" s="13">
        <v>125</v>
      </c>
      <c r="BZ59" s="13">
        <v>83</v>
      </c>
      <c r="CA59" s="13">
        <v>65</v>
      </c>
      <c r="CB59" s="13">
        <v>31</v>
      </c>
      <c r="CC59" s="13">
        <v>12</v>
      </c>
      <c r="CD59" s="13">
        <v>21</v>
      </c>
      <c r="CE59" s="13">
        <v>44</v>
      </c>
      <c r="CF59" s="13">
        <v>42</v>
      </c>
      <c r="CG59" s="13">
        <v>18</v>
      </c>
      <c r="CH59" s="13">
        <v>12</v>
      </c>
      <c r="CI59" s="13">
        <v>8</v>
      </c>
      <c r="CJ59" s="13">
        <v>21</v>
      </c>
      <c r="CK59" s="13">
        <v>23</v>
      </c>
      <c r="CL59" s="13">
        <v>24</v>
      </c>
      <c r="CM59" s="13">
        <v>10</v>
      </c>
      <c r="CN59" s="13">
        <v>5</v>
      </c>
      <c r="CO59" s="13">
        <v>272</v>
      </c>
      <c r="CP59" s="13">
        <v>47</v>
      </c>
      <c r="CQ59" s="13" t="s">
        <v>764</v>
      </c>
      <c r="CR59" s="13">
        <v>172</v>
      </c>
      <c r="CS59" s="13" t="s">
        <v>765</v>
      </c>
      <c r="CT59" s="13">
        <v>152</v>
      </c>
      <c r="CU59" s="13">
        <v>36</v>
      </c>
      <c r="CV59" s="13">
        <v>33</v>
      </c>
      <c r="CW59" s="13">
        <v>93</v>
      </c>
      <c r="CX59" s="13">
        <v>147</v>
      </c>
      <c r="CY59" s="13">
        <v>19</v>
      </c>
      <c r="CZ59" s="13">
        <v>18</v>
      </c>
      <c r="DA59" s="13">
        <v>48</v>
      </c>
      <c r="DB59" s="13" t="s">
        <v>545</v>
      </c>
      <c r="DC59" s="32" t="s">
        <v>766</v>
      </c>
    </row>
    <row r="60" spans="1:107" ht="19">
      <c r="A60" s="9" t="s">
        <v>222</v>
      </c>
      <c r="B60" s="9" t="s">
        <v>223</v>
      </c>
      <c r="C60" s="13" t="s">
        <v>545</v>
      </c>
      <c r="D60" s="13" t="s">
        <v>545</v>
      </c>
      <c r="E60" s="13" t="s">
        <v>545</v>
      </c>
      <c r="F60" s="13" t="s">
        <v>545</v>
      </c>
      <c r="G60" s="13" t="s">
        <v>545</v>
      </c>
      <c r="H60" s="13" t="s">
        <v>545</v>
      </c>
      <c r="I60" s="13" t="s">
        <v>545</v>
      </c>
      <c r="J60" s="13" t="s">
        <v>545</v>
      </c>
      <c r="K60" s="13" t="s">
        <v>545</v>
      </c>
      <c r="L60" s="13" t="s">
        <v>545</v>
      </c>
      <c r="M60" s="13" t="s">
        <v>545</v>
      </c>
      <c r="N60" s="13" t="s">
        <v>545</v>
      </c>
      <c r="O60" s="13" t="s">
        <v>545</v>
      </c>
      <c r="P60" s="13" t="s">
        <v>545</v>
      </c>
      <c r="Q60" s="13" t="s">
        <v>545</v>
      </c>
      <c r="R60" s="13" t="s">
        <v>545</v>
      </c>
      <c r="S60" s="13" t="s">
        <v>545</v>
      </c>
      <c r="T60" s="13" t="s">
        <v>545</v>
      </c>
      <c r="U60" s="13" t="s">
        <v>545</v>
      </c>
      <c r="V60" s="13" t="s">
        <v>545</v>
      </c>
      <c r="W60" s="13" t="s">
        <v>545</v>
      </c>
      <c r="X60" s="13" t="s">
        <v>545</v>
      </c>
      <c r="Y60" s="13" t="s">
        <v>545</v>
      </c>
      <c r="Z60" s="13" t="s">
        <v>545</v>
      </c>
      <c r="AA60" s="13" t="s">
        <v>545</v>
      </c>
      <c r="AB60" s="13" t="s">
        <v>545</v>
      </c>
      <c r="AC60" s="13" t="s">
        <v>545</v>
      </c>
      <c r="AD60" s="13" t="s">
        <v>545</v>
      </c>
      <c r="AE60" s="13" t="s">
        <v>545</v>
      </c>
      <c r="AF60" s="13" t="s">
        <v>545</v>
      </c>
      <c r="AG60" s="13" t="s">
        <v>545</v>
      </c>
      <c r="AH60" s="13" t="s">
        <v>545</v>
      </c>
      <c r="AI60" s="13" t="s">
        <v>545</v>
      </c>
      <c r="AJ60" s="13" t="s">
        <v>545</v>
      </c>
      <c r="AK60" s="13" t="s">
        <v>545</v>
      </c>
      <c r="AL60" s="13" t="s">
        <v>545</v>
      </c>
      <c r="AM60" s="13" t="s">
        <v>545</v>
      </c>
      <c r="AN60" s="13" t="s">
        <v>545</v>
      </c>
      <c r="AO60" s="13" t="s">
        <v>545</v>
      </c>
      <c r="AP60" s="13" t="s">
        <v>545</v>
      </c>
      <c r="AQ60" s="13" t="s">
        <v>545</v>
      </c>
      <c r="AR60" s="13" t="s">
        <v>545</v>
      </c>
      <c r="AS60" s="13" t="s">
        <v>545</v>
      </c>
      <c r="AT60" s="13" t="s">
        <v>545</v>
      </c>
      <c r="AU60" s="13" t="s">
        <v>545</v>
      </c>
      <c r="AV60" s="13" t="s">
        <v>545</v>
      </c>
      <c r="AW60" s="13" t="s">
        <v>545</v>
      </c>
      <c r="AX60" s="13" t="s">
        <v>545</v>
      </c>
      <c r="AY60" s="13" t="s">
        <v>545</v>
      </c>
      <c r="AZ60" s="13" t="s">
        <v>545</v>
      </c>
      <c r="BA60" s="13" t="s">
        <v>545</v>
      </c>
      <c r="BB60" s="13" t="s">
        <v>545</v>
      </c>
      <c r="BC60" s="13" t="s">
        <v>545</v>
      </c>
      <c r="BD60" s="13">
        <v>508</v>
      </c>
      <c r="BE60" s="13">
        <v>216</v>
      </c>
      <c r="BF60" s="13" t="s">
        <v>545</v>
      </c>
      <c r="BG60" s="13" t="s">
        <v>545</v>
      </c>
      <c r="BH60" s="13" t="s">
        <v>545</v>
      </c>
      <c r="BI60" s="13" t="s">
        <v>545</v>
      </c>
      <c r="BJ60" s="13" t="s">
        <v>545</v>
      </c>
      <c r="BK60" s="13" t="s">
        <v>545</v>
      </c>
      <c r="BL60" s="13" t="s">
        <v>545</v>
      </c>
      <c r="BM60" s="13" t="s">
        <v>545</v>
      </c>
      <c r="BN60" s="13" t="s">
        <v>545</v>
      </c>
      <c r="BO60" s="13" t="s">
        <v>545</v>
      </c>
      <c r="BP60" s="13" t="s">
        <v>545</v>
      </c>
      <c r="BQ60" s="13" t="s">
        <v>545</v>
      </c>
      <c r="BR60" s="13" t="s">
        <v>545</v>
      </c>
      <c r="BS60" s="13">
        <v>2</v>
      </c>
      <c r="BT60" s="13" t="s">
        <v>545</v>
      </c>
      <c r="BU60" s="13" t="s">
        <v>545</v>
      </c>
      <c r="BV60" s="13" t="s">
        <v>545</v>
      </c>
      <c r="BW60" s="13" t="s">
        <v>545</v>
      </c>
      <c r="BX60" s="13" t="s">
        <v>545</v>
      </c>
      <c r="BY60" s="13" t="s">
        <v>545</v>
      </c>
      <c r="BZ60" s="13">
        <v>11</v>
      </c>
      <c r="CA60" s="13" t="s">
        <v>545</v>
      </c>
      <c r="CB60" s="13" t="s">
        <v>545</v>
      </c>
      <c r="CC60" s="13" t="s">
        <v>545</v>
      </c>
      <c r="CD60" s="13" t="s">
        <v>545</v>
      </c>
      <c r="CE60" s="13" t="s">
        <v>545</v>
      </c>
      <c r="CF60" s="13" t="s">
        <v>545</v>
      </c>
      <c r="CG60" s="13" t="s">
        <v>545</v>
      </c>
      <c r="CH60" s="13" t="s">
        <v>545</v>
      </c>
      <c r="CI60" s="13" t="s">
        <v>545</v>
      </c>
      <c r="CJ60" s="13" t="s">
        <v>545</v>
      </c>
      <c r="CK60" s="13" t="s">
        <v>545</v>
      </c>
      <c r="CL60" s="13" t="s">
        <v>545</v>
      </c>
      <c r="CM60" s="13" t="s">
        <v>545</v>
      </c>
      <c r="CN60" s="13" t="s">
        <v>545</v>
      </c>
      <c r="CO60" s="13" t="s">
        <v>545</v>
      </c>
      <c r="CP60" s="13" t="s">
        <v>545</v>
      </c>
      <c r="CQ60" s="13">
        <v>612</v>
      </c>
      <c r="CR60" s="13">
        <v>47</v>
      </c>
      <c r="CS60" s="13" t="s">
        <v>545</v>
      </c>
      <c r="CT60" s="13" t="s">
        <v>545</v>
      </c>
      <c r="CU60" s="13" t="s">
        <v>545</v>
      </c>
      <c r="CV60" s="13" t="s">
        <v>545</v>
      </c>
      <c r="CW60" s="13" t="s">
        <v>545</v>
      </c>
      <c r="CX60" s="13">
        <v>4</v>
      </c>
      <c r="CY60" s="13" t="s">
        <v>545</v>
      </c>
      <c r="CZ60" s="13" t="s">
        <v>545</v>
      </c>
      <c r="DA60" s="13" t="s">
        <v>545</v>
      </c>
      <c r="DB60" s="13" t="s">
        <v>545</v>
      </c>
      <c r="DC60" s="32" t="s">
        <v>731</v>
      </c>
    </row>
    <row r="61" spans="1:107" ht="19">
      <c r="A61" s="9" t="s">
        <v>224</v>
      </c>
      <c r="B61" s="9" t="s">
        <v>109</v>
      </c>
      <c r="C61" s="13">
        <v>242</v>
      </c>
      <c r="D61" s="13">
        <v>18</v>
      </c>
      <c r="E61" s="13">
        <v>4</v>
      </c>
      <c r="F61" s="13">
        <v>1</v>
      </c>
      <c r="G61" s="13">
        <v>195</v>
      </c>
      <c r="H61" s="13">
        <v>6</v>
      </c>
      <c r="I61" s="13">
        <v>86</v>
      </c>
      <c r="J61" s="13">
        <v>56</v>
      </c>
      <c r="K61" s="13">
        <v>26</v>
      </c>
      <c r="L61" s="13" t="s">
        <v>545</v>
      </c>
      <c r="M61" s="13" t="s">
        <v>545</v>
      </c>
      <c r="N61" s="13" t="s">
        <v>545</v>
      </c>
      <c r="O61" s="13" t="s">
        <v>545</v>
      </c>
      <c r="P61" s="13" t="s">
        <v>545</v>
      </c>
      <c r="Q61" s="13" t="s">
        <v>545</v>
      </c>
      <c r="R61" s="13" t="s">
        <v>545</v>
      </c>
      <c r="S61" s="13" t="s">
        <v>545</v>
      </c>
      <c r="T61" s="13" t="s">
        <v>545</v>
      </c>
      <c r="U61" s="13">
        <v>1</v>
      </c>
      <c r="V61" s="13" t="s">
        <v>545</v>
      </c>
      <c r="W61" s="13">
        <v>10</v>
      </c>
      <c r="X61" s="13" t="s">
        <v>545</v>
      </c>
      <c r="Y61" s="13">
        <v>3</v>
      </c>
      <c r="Z61" s="13">
        <v>259</v>
      </c>
      <c r="AA61" s="13">
        <v>2</v>
      </c>
      <c r="AB61" s="13" t="s">
        <v>545</v>
      </c>
      <c r="AC61" s="13" t="s">
        <v>545</v>
      </c>
      <c r="AD61" s="13">
        <v>33</v>
      </c>
      <c r="AE61" s="13">
        <v>12</v>
      </c>
      <c r="AF61" s="13">
        <v>1</v>
      </c>
      <c r="AG61" s="13" t="s">
        <v>545</v>
      </c>
      <c r="AH61" s="13">
        <v>156</v>
      </c>
      <c r="AI61" s="13">
        <v>175</v>
      </c>
      <c r="AJ61" s="13">
        <v>3</v>
      </c>
      <c r="AK61" s="13" t="s">
        <v>545</v>
      </c>
      <c r="AL61" s="13" t="s">
        <v>545</v>
      </c>
      <c r="AM61" s="13">
        <v>494</v>
      </c>
      <c r="AN61" s="13" t="s">
        <v>545</v>
      </c>
      <c r="AO61" s="13" t="s">
        <v>545</v>
      </c>
      <c r="AP61" s="13">
        <v>77</v>
      </c>
      <c r="AQ61" s="13">
        <v>251</v>
      </c>
      <c r="AR61" s="13">
        <v>208</v>
      </c>
      <c r="AS61" s="13">
        <v>12</v>
      </c>
      <c r="AT61" s="13">
        <v>24</v>
      </c>
      <c r="AU61" s="13">
        <v>2</v>
      </c>
      <c r="AV61" s="13">
        <v>17</v>
      </c>
      <c r="AW61" s="13">
        <v>5</v>
      </c>
      <c r="AX61" s="13" t="s">
        <v>545</v>
      </c>
      <c r="AY61" s="13">
        <v>309</v>
      </c>
      <c r="AZ61" s="13" t="s">
        <v>767</v>
      </c>
      <c r="BA61" s="13">
        <v>936</v>
      </c>
      <c r="BB61" s="13">
        <v>212</v>
      </c>
      <c r="BC61" s="13">
        <v>308</v>
      </c>
      <c r="BD61" s="13">
        <v>399</v>
      </c>
      <c r="BE61" s="13" t="s">
        <v>545</v>
      </c>
      <c r="BF61" s="13" t="s">
        <v>768</v>
      </c>
      <c r="BG61" s="13">
        <v>168</v>
      </c>
      <c r="BH61" s="13" t="s">
        <v>769</v>
      </c>
      <c r="BI61" s="13" t="s">
        <v>770</v>
      </c>
      <c r="BJ61" s="13">
        <v>12</v>
      </c>
      <c r="BK61" s="13">
        <v>70</v>
      </c>
      <c r="BL61" s="13" t="s">
        <v>545</v>
      </c>
      <c r="BM61" s="13" t="s">
        <v>545</v>
      </c>
      <c r="BN61" s="13">
        <v>420</v>
      </c>
      <c r="BO61" s="13">
        <v>38</v>
      </c>
      <c r="BP61" s="13">
        <v>51</v>
      </c>
      <c r="BQ61" s="13">
        <v>46</v>
      </c>
      <c r="BR61" s="13">
        <v>4</v>
      </c>
      <c r="BS61" s="13">
        <v>10</v>
      </c>
      <c r="BT61" s="13">
        <v>137</v>
      </c>
      <c r="BU61" s="13">
        <v>23</v>
      </c>
      <c r="BV61" s="13">
        <v>36</v>
      </c>
      <c r="BW61" s="13" t="s">
        <v>771</v>
      </c>
      <c r="BX61" s="13" t="s">
        <v>772</v>
      </c>
      <c r="BY61" s="13">
        <v>176</v>
      </c>
      <c r="BZ61" s="13" t="s">
        <v>773</v>
      </c>
      <c r="CA61" s="13" t="s">
        <v>774</v>
      </c>
      <c r="CB61" s="13">
        <v>316</v>
      </c>
      <c r="CC61" s="13">
        <v>3</v>
      </c>
      <c r="CD61" s="13">
        <v>1</v>
      </c>
      <c r="CE61" s="13" t="s">
        <v>748</v>
      </c>
      <c r="CF61" s="13">
        <v>915</v>
      </c>
      <c r="CG61" s="13" t="s">
        <v>545</v>
      </c>
      <c r="CH61" s="13" t="s">
        <v>545</v>
      </c>
      <c r="CI61" s="13">
        <v>288</v>
      </c>
      <c r="CJ61" s="13">
        <v>1</v>
      </c>
      <c r="CK61" s="13">
        <v>50</v>
      </c>
      <c r="CL61" s="13">
        <v>24</v>
      </c>
      <c r="CM61" s="13">
        <v>39</v>
      </c>
      <c r="CN61" s="13" t="s">
        <v>545</v>
      </c>
      <c r="CO61" s="13">
        <v>435</v>
      </c>
      <c r="CP61" s="13">
        <v>175</v>
      </c>
      <c r="CQ61" s="13" t="s">
        <v>775</v>
      </c>
      <c r="CR61" s="13">
        <v>744</v>
      </c>
      <c r="CS61" s="13" t="s">
        <v>776</v>
      </c>
      <c r="CT61" s="13">
        <v>480</v>
      </c>
      <c r="CU61" s="13">
        <v>46</v>
      </c>
      <c r="CV61" s="13">
        <v>80</v>
      </c>
      <c r="CW61" s="13" t="s">
        <v>545</v>
      </c>
      <c r="CX61" s="13">
        <v>135</v>
      </c>
      <c r="CY61" s="13">
        <v>5</v>
      </c>
      <c r="CZ61" s="13" t="s">
        <v>545</v>
      </c>
      <c r="DA61" s="13">
        <v>68</v>
      </c>
      <c r="DB61" s="13" t="s">
        <v>545</v>
      </c>
      <c r="DC61" s="32" t="s">
        <v>777</v>
      </c>
    </row>
    <row r="62" spans="1:107" ht="19">
      <c r="A62" s="9" t="s">
        <v>225</v>
      </c>
      <c r="B62" s="9" t="s">
        <v>226</v>
      </c>
      <c r="C62" s="13">
        <v>823</v>
      </c>
      <c r="D62" s="13">
        <v>19</v>
      </c>
      <c r="E62" s="13" t="s">
        <v>545</v>
      </c>
      <c r="F62" s="13" t="s">
        <v>545</v>
      </c>
      <c r="G62" s="13" t="s">
        <v>545</v>
      </c>
      <c r="H62" s="13" t="s">
        <v>545</v>
      </c>
      <c r="I62" s="13">
        <v>2</v>
      </c>
      <c r="J62" s="13" t="s">
        <v>545</v>
      </c>
      <c r="K62" s="13" t="s">
        <v>545</v>
      </c>
      <c r="L62" s="13" t="s">
        <v>545</v>
      </c>
      <c r="M62" s="13" t="s">
        <v>545</v>
      </c>
      <c r="N62" s="13" t="s">
        <v>545</v>
      </c>
      <c r="O62" s="13" t="s">
        <v>545</v>
      </c>
      <c r="P62" s="13" t="s">
        <v>545</v>
      </c>
      <c r="Q62" s="13" t="s">
        <v>545</v>
      </c>
      <c r="R62" s="13" t="s">
        <v>545</v>
      </c>
      <c r="S62" s="13" t="s">
        <v>545</v>
      </c>
      <c r="T62" s="13" t="s">
        <v>545</v>
      </c>
      <c r="U62" s="13" t="s">
        <v>545</v>
      </c>
      <c r="V62" s="13" t="s">
        <v>545</v>
      </c>
      <c r="W62" s="13" t="s">
        <v>545</v>
      </c>
      <c r="X62" s="13" t="s">
        <v>545</v>
      </c>
      <c r="Y62" s="13" t="s">
        <v>545</v>
      </c>
      <c r="Z62" s="13" t="s">
        <v>545</v>
      </c>
      <c r="AA62" s="13" t="s">
        <v>545</v>
      </c>
      <c r="AB62" s="13" t="s">
        <v>545</v>
      </c>
      <c r="AC62" s="13" t="s">
        <v>545</v>
      </c>
      <c r="AD62" s="13" t="s">
        <v>545</v>
      </c>
      <c r="AE62" s="13" t="s">
        <v>545</v>
      </c>
      <c r="AF62" s="13" t="s">
        <v>545</v>
      </c>
      <c r="AG62" s="13" t="s">
        <v>545</v>
      </c>
      <c r="AH62" s="13" t="s">
        <v>545</v>
      </c>
      <c r="AI62" s="13" t="s">
        <v>545</v>
      </c>
      <c r="AJ62" s="13" t="s">
        <v>545</v>
      </c>
      <c r="AK62" s="13" t="s">
        <v>545</v>
      </c>
      <c r="AL62" s="13" t="s">
        <v>545</v>
      </c>
      <c r="AM62" s="13" t="s">
        <v>545</v>
      </c>
      <c r="AN62" s="13" t="s">
        <v>545</v>
      </c>
      <c r="AO62" s="13" t="s">
        <v>545</v>
      </c>
      <c r="AP62" s="13" t="s">
        <v>545</v>
      </c>
      <c r="AQ62" s="13" t="s">
        <v>545</v>
      </c>
      <c r="AR62" s="13" t="s">
        <v>545</v>
      </c>
      <c r="AS62" s="13" t="s">
        <v>545</v>
      </c>
      <c r="AT62" s="13" t="s">
        <v>545</v>
      </c>
      <c r="AU62" s="13" t="s">
        <v>545</v>
      </c>
      <c r="AV62" s="13" t="s">
        <v>545</v>
      </c>
      <c r="AW62" s="13" t="s">
        <v>545</v>
      </c>
      <c r="AX62" s="13" t="s">
        <v>545</v>
      </c>
      <c r="AY62" s="13" t="s">
        <v>545</v>
      </c>
      <c r="AZ62" s="13" t="s">
        <v>545</v>
      </c>
      <c r="BA62" s="13" t="s">
        <v>545</v>
      </c>
      <c r="BB62" s="13">
        <v>36</v>
      </c>
      <c r="BC62" s="13">
        <v>7</v>
      </c>
      <c r="BD62" s="13">
        <v>293</v>
      </c>
      <c r="BE62" s="13" t="s">
        <v>545</v>
      </c>
      <c r="BF62" s="13">
        <v>239</v>
      </c>
      <c r="BG62" s="13" t="s">
        <v>778</v>
      </c>
      <c r="BH62" s="13" t="s">
        <v>779</v>
      </c>
      <c r="BI62" s="13">
        <v>917</v>
      </c>
      <c r="BJ62" s="13">
        <v>21</v>
      </c>
      <c r="BK62" s="13" t="s">
        <v>780</v>
      </c>
      <c r="BL62" s="13">
        <v>10</v>
      </c>
      <c r="BM62" s="13">
        <v>4</v>
      </c>
      <c r="BN62" s="13">
        <v>31</v>
      </c>
      <c r="BO62" s="13">
        <v>450</v>
      </c>
      <c r="BP62" s="13">
        <v>21</v>
      </c>
      <c r="BQ62" s="13">
        <v>143</v>
      </c>
      <c r="BR62" s="13">
        <v>4</v>
      </c>
      <c r="BS62" s="13">
        <v>10</v>
      </c>
      <c r="BT62" s="13" t="s">
        <v>545</v>
      </c>
      <c r="BU62" s="13">
        <v>93</v>
      </c>
      <c r="BV62" s="13">
        <v>19</v>
      </c>
      <c r="BW62" s="13">
        <v>481</v>
      </c>
      <c r="BX62" s="13">
        <v>242</v>
      </c>
      <c r="BY62" s="13">
        <v>76</v>
      </c>
      <c r="BZ62" s="13" t="s">
        <v>545</v>
      </c>
      <c r="CA62" s="13" t="s">
        <v>545</v>
      </c>
      <c r="CB62" s="13" t="s">
        <v>545</v>
      </c>
      <c r="CC62" s="13">
        <v>20</v>
      </c>
      <c r="CD62" s="13">
        <v>73</v>
      </c>
      <c r="CE62" s="13" t="s">
        <v>545</v>
      </c>
      <c r="CF62" s="13" t="s">
        <v>545</v>
      </c>
      <c r="CG62" s="13">
        <v>16</v>
      </c>
      <c r="CH62" s="13" t="s">
        <v>545</v>
      </c>
      <c r="CI62" s="13" t="s">
        <v>545</v>
      </c>
      <c r="CJ62" s="13" t="s">
        <v>545</v>
      </c>
      <c r="CK62" s="13" t="s">
        <v>781</v>
      </c>
      <c r="CL62" s="13">
        <v>296</v>
      </c>
      <c r="CM62" s="13" t="s">
        <v>545</v>
      </c>
      <c r="CN62" s="13" t="s">
        <v>545</v>
      </c>
      <c r="CO62" s="13" t="s">
        <v>545</v>
      </c>
      <c r="CP62" s="13" t="s">
        <v>545</v>
      </c>
      <c r="CQ62" s="13">
        <v>351</v>
      </c>
      <c r="CR62" s="13">
        <v>245</v>
      </c>
      <c r="CS62" s="13">
        <v>242</v>
      </c>
      <c r="CT62" s="13">
        <v>230</v>
      </c>
      <c r="CU62" s="13" t="s">
        <v>545</v>
      </c>
      <c r="CV62" s="13" t="s">
        <v>545</v>
      </c>
      <c r="CW62" s="13" t="s">
        <v>545</v>
      </c>
      <c r="CX62" s="13">
        <v>11</v>
      </c>
      <c r="CY62" s="13" t="s">
        <v>545</v>
      </c>
      <c r="CZ62" s="13">
        <v>11</v>
      </c>
      <c r="DA62" s="13">
        <v>98</v>
      </c>
      <c r="DB62" s="13" t="s">
        <v>545</v>
      </c>
      <c r="DC62" s="32" t="s">
        <v>782</v>
      </c>
    </row>
    <row r="63" spans="1:107" ht="19">
      <c r="A63" s="9" t="s">
        <v>227</v>
      </c>
      <c r="B63" s="9" t="s">
        <v>228</v>
      </c>
      <c r="C63" s="13" t="s">
        <v>545</v>
      </c>
      <c r="D63" s="13" t="s">
        <v>545</v>
      </c>
      <c r="E63" s="13" t="s">
        <v>545</v>
      </c>
      <c r="F63" s="13" t="s">
        <v>545</v>
      </c>
      <c r="G63" s="13" t="s">
        <v>545</v>
      </c>
      <c r="H63" s="13" t="s">
        <v>545</v>
      </c>
      <c r="I63" s="13" t="s">
        <v>545</v>
      </c>
      <c r="J63" s="13" t="s">
        <v>545</v>
      </c>
      <c r="K63" s="13" t="s">
        <v>545</v>
      </c>
      <c r="L63" s="13" t="s">
        <v>545</v>
      </c>
      <c r="M63" s="13" t="s">
        <v>545</v>
      </c>
      <c r="N63" s="13" t="s">
        <v>545</v>
      </c>
      <c r="O63" s="13" t="s">
        <v>545</v>
      </c>
      <c r="P63" s="13" t="s">
        <v>545</v>
      </c>
      <c r="Q63" s="13" t="s">
        <v>545</v>
      </c>
      <c r="R63" s="13" t="s">
        <v>545</v>
      </c>
      <c r="S63" s="13" t="s">
        <v>545</v>
      </c>
      <c r="T63" s="13" t="s">
        <v>545</v>
      </c>
      <c r="U63" s="13" t="s">
        <v>545</v>
      </c>
      <c r="V63" s="13" t="s">
        <v>545</v>
      </c>
      <c r="W63" s="13" t="s">
        <v>545</v>
      </c>
      <c r="X63" s="13" t="s">
        <v>545</v>
      </c>
      <c r="Y63" s="13" t="s">
        <v>545</v>
      </c>
      <c r="Z63" s="13" t="s">
        <v>545</v>
      </c>
      <c r="AA63" s="13" t="s">
        <v>545</v>
      </c>
      <c r="AB63" s="13" t="s">
        <v>545</v>
      </c>
      <c r="AC63" s="13" t="s">
        <v>545</v>
      </c>
      <c r="AD63" s="13" t="s">
        <v>545</v>
      </c>
      <c r="AE63" s="13" t="s">
        <v>545</v>
      </c>
      <c r="AF63" s="13" t="s">
        <v>545</v>
      </c>
      <c r="AG63" s="13" t="s">
        <v>545</v>
      </c>
      <c r="AH63" s="13" t="s">
        <v>545</v>
      </c>
      <c r="AI63" s="13" t="s">
        <v>545</v>
      </c>
      <c r="AJ63" s="13" t="s">
        <v>545</v>
      </c>
      <c r="AK63" s="13" t="s">
        <v>545</v>
      </c>
      <c r="AL63" s="13" t="s">
        <v>545</v>
      </c>
      <c r="AM63" s="13" t="s">
        <v>545</v>
      </c>
      <c r="AN63" s="13" t="s">
        <v>545</v>
      </c>
      <c r="AO63" s="13" t="s">
        <v>545</v>
      </c>
      <c r="AP63" s="13" t="s">
        <v>545</v>
      </c>
      <c r="AQ63" s="13" t="s">
        <v>545</v>
      </c>
      <c r="AR63" s="13" t="s">
        <v>545</v>
      </c>
      <c r="AS63" s="13" t="s">
        <v>545</v>
      </c>
      <c r="AT63" s="13" t="s">
        <v>545</v>
      </c>
      <c r="AU63" s="13" t="s">
        <v>545</v>
      </c>
      <c r="AV63" s="13" t="s">
        <v>545</v>
      </c>
      <c r="AW63" s="13" t="s">
        <v>545</v>
      </c>
      <c r="AX63" s="13" t="s">
        <v>545</v>
      </c>
      <c r="AY63" s="13" t="s">
        <v>545</v>
      </c>
      <c r="AZ63" s="13" t="s">
        <v>545</v>
      </c>
      <c r="BA63" s="13" t="s">
        <v>545</v>
      </c>
      <c r="BB63" s="13" t="s">
        <v>545</v>
      </c>
      <c r="BC63" s="13" t="s">
        <v>545</v>
      </c>
      <c r="BD63" s="13" t="s">
        <v>545</v>
      </c>
      <c r="BE63" s="13" t="s">
        <v>545</v>
      </c>
      <c r="BF63" s="13" t="s">
        <v>545</v>
      </c>
      <c r="BG63" s="13" t="s">
        <v>545</v>
      </c>
      <c r="BH63" s="13" t="s">
        <v>545</v>
      </c>
      <c r="BI63" s="13" t="s">
        <v>545</v>
      </c>
      <c r="BJ63" s="13" t="s">
        <v>545</v>
      </c>
      <c r="BK63" s="13" t="s">
        <v>545</v>
      </c>
      <c r="BL63" s="13" t="s">
        <v>545</v>
      </c>
      <c r="BM63" s="13" t="s">
        <v>545</v>
      </c>
      <c r="BN63" s="13" t="s">
        <v>545</v>
      </c>
      <c r="BO63" s="13" t="s">
        <v>545</v>
      </c>
      <c r="BP63" s="13" t="s">
        <v>545</v>
      </c>
      <c r="BQ63" s="13" t="s">
        <v>545</v>
      </c>
      <c r="BR63" s="13" t="s">
        <v>545</v>
      </c>
      <c r="BS63" s="13" t="s">
        <v>545</v>
      </c>
      <c r="BT63" s="13" t="s">
        <v>545</v>
      </c>
      <c r="BU63" s="13" t="s">
        <v>545</v>
      </c>
      <c r="BV63" s="13" t="s">
        <v>545</v>
      </c>
      <c r="BW63" s="13" t="s">
        <v>545</v>
      </c>
      <c r="BX63" s="13" t="s">
        <v>545</v>
      </c>
      <c r="BY63" s="13" t="s">
        <v>545</v>
      </c>
      <c r="BZ63" s="13" t="s">
        <v>545</v>
      </c>
      <c r="CA63" s="13" t="s">
        <v>545</v>
      </c>
      <c r="CB63" s="13" t="s">
        <v>545</v>
      </c>
      <c r="CC63" s="13" t="s">
        <v>545</v>
      </c>
      <c r="CD63" s="13" t="s">
        <v>545</v>
      </c>
      <c r="CE63" s="13" t="s">
        <v>545</v>
      </c>
      <c r="CF63" s="13" t="s">
        <v>545</v>
      </c>
      <c r="CG63" s="13" t="s">
        <v>545</v>
      </c>
      <c r="CH63" s="13" t="s">
        <v>545</v>
      </c>
      <c r="CI63" s="13" t="s">
        <v>545</v>
      </c>
      <c r="CJ63" s="13" t="s">
        <v>545</v>
      </c>
      <c r="CK63" s="13" t="s">
        <v>545</v>
      </c>
      <c r="CL63" s="13" t="s">
        <v>545</v>
      </c>
      <c r="CM63" s="13" t="s">
        <v>545</v>
      </c>
      <c r="CN63" s="13" t="s">
        <v>545</v>
      </c>
      <c r="CO63" s="13" t="s">
        <v>545</v>
      </c>
      <c r="CP63" s="13" t="s">
        <v>545</v>
      </c>
      <c r="CQ63" s="13" t="s">
        <v>545</v>
      </c>
      <c r="CR63" s="13" t="s">
        <v>545</v>
      </c>
      <c r="CS63" s="13" t="s">
        <v>545</v>
      </c>
      <c r="CT63" s="13" t="s">
        <v>545</v>
      </c>
      <c r="CU63" s="13" t="s">
        <v>545</v>
      </c>
      <c r="CV63" s="13" t="s">
        <v>545</v>
      </c>
      <c r="CW63" s="13" t="s">
        <v>545</v>
      </c>
      <c r="CX63" s="13" t="s">
        <v>545</v>
      </c>
      <c r="CY63" s="13" t="s">
        <v>545</v>
      </c>
      <c r="CZ63" s="13" t="s">
        <v>545</v>
      </c>
      <c r="DA63" s="13" t="s">
        <v>545</v>
      </c>
      <c r="DB63" s="13" t="s">
        <v>545</v>
      </c>
      <c r="DC63" s="32" t="s">
        <v>545</v>
      </c>
    </row>
    <row r="64" spans="1:107" ht="19">
      <c r="A64" s="9" t="s">
        <v>229</v>
      </c>
      <c r="B64" s="9" t="s">
        <v>230</v>
      </c>
      <c r="C64" s="13" t="s">
        <v>545</v>
      </c>
      <c r="D64" s="13" t="s">
        <v>545</v>
      </c>
      <c r="E64" s="13" t="s">
        <v>545</v>
      </c>
      <c r="F64" s="13" t="s">
        <v>545</v>
      </c>
      <c r="G64" s="13" t="s">
        <v>545</v>
      </c>
      <c r="H64" s="13" t="s">
        <v>545</v>
      </c>
      <c r="I64" s="13" t="s">
        <v>545</v>
      </c>
      <c r="J64" s="13" t="s">
        <v>545</v>
      </c>
      <c r="K64" s="13" t="s">
        <v>545</v>
      </c>
      <c r="L64" s="13" t="s">
        <v>545</v>
      </c>
      <c r="M64" s="13" t="s">
        <v>545</v>
      </c>
      <c r="N64" s="13" t="s">
        <v>545</v>
      </c>
      <c r="O64" s="13" t="s">
        <v>545</v>
      </c>
      <c r="P64" s="13" t="s">
        <v>545</v>
      </c>
      <c r="Q64" s="13" t="s">
        <v>545</v>
      </c>
      <c r="R64" s="13" t="s">
        <v>545</v>
      </c>
      <c r="S64" s="13" t="s">
        <v>545</v>
      </c>
      <c r="T64" s="13" t="s">
        <v>545</v>
      </c>
      <c r="U64" s="13" t="s">
        <v>545</v>
      </c>
      <c r="V64" s="13" t="s">
        <v>545</v>
      </c>
      <c r="W64" s="13" t="s">
        <v>545</v>
      </c>
      <c r="X64" s="13" t="s">
        <v>545</v>
      </c>
      <c r="Y64" s="13" t="s">
        <v>545</v>
      </c>
      <c r="Z64" s="13" t="s">
        <v>545</v>
      </c>
      <c r="AA64" s="13" t="s">
        <v>545</v>
      </c>
      <c r="AB64" s="13" t="s">
        <v>545</v>
      </c>
      <c r="AC64" s="13" t="s">
        <v>545</v>
      </c>
      <c r="AD64" s="13" t="s">
        <v>545</v>
      </c>
      <c r="AE64" s="13" t="s">
        <v>545</v>
      </c>
      <c r="AF64" s="13" t="s">
        <v>545</v>
      </c>
      <c r="AG64" s="13" t="s">
        <v>545</v>
      </c>
      <c r="AH64" s="13" t="s">
        <v>545</v>
      </c>
      <c r="AI64" s="13" t="s">
        <v>545</v>
      </c>
      <c r="AJ64" s="13" t="s">
        <v>545</v>
      </c>
      <c r="AK64" s="13" t="s">
        <v>545</v>
      </c>
      <c r="AL64" s="13" t="s">
        <v>545</v>
      </c>
      <c r="AM64" s="13" t="s">
        <v>545</v>
      </c>
      <c r="AN64" s="13" t="s">
        <v>545</v>
      </c>
      <c r="AO64" s="13" t="s">
        <v>545</v>
      </c>
      <c r="AP64" s="13" t="s">
        <v>545</v>
      </c>
      <c r="AQ64" s="13" t="s">
        <v>545</v>
      </c>
      <c r="AR64" s="13" t="s">
        <v>545</v>
      </c>
      <c r="AS64" s="13" t="s">
        <v>545</v>
      </c>
      <c r="AT64" s="13" t="s">
        <v>545</v>
      </c>
      <c r="AU64" s="13" t="s">
        <v>545</v>
      </c>
      <c r="AV64" s="13" t="s">
        <v>545</v>
      </c>
      <c r="AW64" s="13" t="s">
        <v>545</v>
      </c>
      <c r="AX64" s="13" t="s">
        <v>545</v>
      </c>
      <c r="AY64" s="13" t="s">
        <v>545</v>
      </c>
      <c r="AZ64" s="13" t="s">
        <v>545</v>
      </c>
      <c r="BA64" s="13" t="s">
        <v>545</v>
      </c>
      <c r="BB64" s="13" t="s">
        <v>545</v>
      </c>
      <c r="BC64" s="13" t="s">
        <v>545</v>
      </c>
      <c r="BD64" s="13" t="s">
        <v>545</v>
      </c>
      <c r="BE64" s="13" t="s">
        <v>545</v>
      </c>
      <c r="BF64" s="13" t="s">
        <v>545</v>
      </c>
      <c r="BG64" s="13" t="s">
        <v>545</v>
      </c>
      <c r="BH64" s="13" t="s">
        <v>545</v>
      </c>
      <c r="BI64" s="13" t="s">
        <v>545</v>
      </c>
      <c r="BJ64" s="13" t="s">
        <v>545</v>
      </c>
      <c r="BK64" s="13" t="s">
        <v>545</v>
      </c>
      <c r="BL64" s="13" t="s">
        <v>545</v>
      </c>
      <c r="BM64" s="13" t="s">
        <v>545</v>
      </c>
      <c r="BN64" s="13" t="s">
        <v>545</v>
      </c>
      <c r="BO64" s="13" t="s">
        <v>545</v>
      </c>
      <c r="BP64" s="13" t="s">
        <v>545</v>
      </c>
      <c r="BQ64" s="13" t="s">
        <v>545</v>
      </c>
      <c r="BR64" s="13" t="s">
        <v>545</v>
      </c>
      <c r="BS64" s="13" t="s">
        <v>545</v>
      </c>
      <c r="BT64" s="13" t="s">
        <v>545</v>
      </c>
      <c r="BU64" s="13" t="s">
        <v>545</v>
      </c>
      <c r="BV64" s="13" t="s">
        <v>545</v>
      </c>
      <c r="BW64" s="13" t="s">
        <v>545</v>
      </c>
      <c r="BX64" s="13" t="s">
        <v>545</v>
      </c>
      <c r="BY64" s="13" t="s">
        <v>545</v>
      </c>
      <c r="BZ64" s="13" t="s">
        <v>545</v>
      </c>
      <c r="CA64" s="13" t="s">
        <v>545</v>
      </c>
      <c r="CB64" s="13" t="s">
        <v>545</v>
      </c>
      <c r="CC64" s="13" t="s">
        <v>545</v>
      </c>
      <c r="CD64" s="13" t="s">
        <v>545</v>
      </c>
      <c r="CE64" s="13" t="s">
        <v>545</v>
      </c>
      <c r="CF64" s="13" t="s">
        <v>545</v>
      </c>
      <c r="CG64" s="13" t="s">
        <v>545</v>
      </c>
      <c r="CH64" s="13" t="s">
        <v>545</v>
      </c>
      <c r="CI64" s="13" t="s">
        <v>545</v>
      </c>
      <c r="CJ64" s="13" t="s">
        <v>545</v>
      </c>
      <c r="CK64" s="13" t="s">
        <v>545</v>
      </c>
      <c r="CL64" s="13" t="s">
        <v>545</v>
      </c>
      <c r="CM64" s="13" t="s">
        <v>545</v>
      </c>
      <c r="CN64" s="13" t="s">
        <v>545</v>
      </c>
      <c r="CO64" s="13" t="s">
        <v>545</v>
      </c>
      <c r="CP64" s="13" t="s">
        <v>545</v>
      </c>
      <c r="CQ64" s="13" t="s">
        <v>545</v>
      </c>
      <c r="CR64" s="13" t="s">
        <v>545</v>
      </c>
      <c r="CS64" s="13" t="s">
        <v>545</v>
      </c>
      <c r="CT64" s="13" t="s">
        <v>545</v>
      </c>
      <c r="CU64" s="13" t="s">
        <v>545</v>
      </c>
      <c r="CV64" s="13" t="s">
        <v>545</v>
      </c>
      <c r="CW64" s="13" t="s">
        <v>545</v>
      </c>
      <c r="CX64" s="13" t="s">
        <v>545</v>
      </c>
      <c r="CY64" s="13" t="s">
        <v>545</v>
      </c>
      <c r="CZ64" s="13" t="s">
        <v>545</v>
      </c>
      <c r="DA64" s="13" t="s">
        <v>545</v>
      </c>
      <c r="DB64" s="13" t="s">
        <v>545</v>
      </c>
      <c r="DC64" s="32" t="s">
        <v>545</v>
      </c>
    </row>
    <row r="65" spans="1:107" ht="19">
      <c r="A65" s="9" t="s">
        <v>231</v>
      </c>
      <c r="B65" s="9" t="s">
        <v>232</v>
      </c>
      <c r="C65" s="13" t="s">
        <v>545</v>
      </c>
      <c r="D65" s="13">
        <v>3</v>
      </c>
      <c r="E65" s="13" t="s">
        <v>545</v>
      </c>
      <c r="F65" s="13" t="s">
        <v>545</v>
      </c>
      <c r="G65" s="13">
        <v>15</v>
      </c>
      <c r="H65" s="13">
        <v>25</v>
      </c>
      <c r="I65" s="13">
        <v>2</v>
      </c>
      <c r="J65" s="13" t="s">
        <v>545</v>
      </c>
      <c r="K65" s="13" t="s">
        <v>545</v>
      </c>
      <c r="L65" s="13">
        <v>1</v>
      </c>
      <c r="M65" s="13">
        <v>1</v>
      </c>
      <c r="N65" s="13" t="s">
        <v>545</v>
      </c>
      <c r="O65" s="13" t="s">
        <v>545</v>
      </c>
      <c r="P65" s="13" t="s">
        <v>545</v>
      </c>
      <c r="Q65" s="13" t="s">
        <v>545</v>
      </c>
      <c r="R65" s="13">
        <v>13</v>
      </c>
      <c r="S65" s="13" t="s">
        <v>545</v>
      </c>
      <c r="T65" s="13">
        <v>2</v>
      </c>
      <c r="U65" s="13" t="s">
        <v>545</v>
      </c>
      <c r="V65" s="13" t="s">
        <v>545</v>
      </c>
      <c r="W65" s="13" t="s">
        <v>545</v>
      </c>
      <c r="X65" s="13" t="s">
        <v>545</v>
      </c>
      <c r="Y65" s="13" t="s">
        <v>545</v>
      </c>
      <c r="Z65" s="13" t="s">
        <v>545</v>
      </c>
      <c r="AA65" s="13" t="s">
        <v>545</v>
      </c>
      <c r="AB65" s="13" t="s">
        <v>545</v>
      </c>
      <c r="AC65" s="13" t="s">
        <v>545</v>
      </c>
      <c r="AD65" s="13" t="s">
        <v>545</v>
      </c>
      <c r="AE65" s="13" t="s">
        <v>545</v>
      </c>
      <c r="AF65" s="13" t="s">
        <v>545</v>
      </c>
      <c r="AG65" s="13" t="s">
        <v>545</v>
      </c>
      <c r="AH65" s="13" t="s">
        <v>545</v>
      </c>
      <c r="AI65" s="13">
        <v>2</v>
      </c>
      <c r="AJ65" s="13" t="s">
        <v>545</v>
      </c>
      <c r="AK65" s="13">
        <v>25</v>
      </c>
      <c r="AL65" s="13" t="s">
        <v>545</v>
      </c>
      <c r="AM65" s="13">
        <v>12</v>
      </c>
      <c r="AN65" s="13">
        <v>10</v>
      </c>
      <c r="AO65" s="13">
        <v>2</v>
      </c>
      <c r="AP65" s="13" t="s">
        <v>545</v>
      </c>
      <c r="AQ65" s="13">
        <v>5</v>
      </c>
      <c r="AR65" s="13" t="s">
        <v>545</v>
      </c>
      <c r="AS65" s="13" t="s">
        <v>545</v>
      </c>
      <c r="AT65" s="13">
        <v>3</v>
      </c>
      <c r="AU65" s="13">
        <v>3</v>
      </c>
      <c r="AV65" s="13" t="s">
        <v>545</v>
      </c>
      <c r="AW65" s="13" t="s">
        <v>545</v>
      </c>
      <c r="AX65" s="13" t="s">
        <v>545</v>
      </c>
      <c r="AY65" s="13" t="s">
        <v>545</v>
      </c>
      <c r="AZ65" s="13" t="s">
        <v>545</v>
      </c>
      <c r="BA65" s="13" t="s">
        <v>545</v>
      </c>
      <c r="BB65" s="13" t="s">
        <v>545</v>
      </c>
      <c r="BC65" s="13" t="s">
        <v>545</v>
      </c>
      <c r="BD65" s="13">
        <v>2</v>
      </c>
      <c r="BE65" s="13" t="s">
        <v>545</v>
      </c>
      <c r="BF65" s="13">
        <v>11</v>
      </c>
      <c r="BG65" s="13" t="s">
        <v>545</v>
      </c>
      <c r="BH65" s="13" t="s">
        <v>545</v>
      </c>
      <c r="BI65" s="13" t="s">
        <v>545</v>
      </c>
      <c r="BJ65" s="13" t="s">
        <v>783</v>
      </c>
      <c r="BK65" s="13" t="s">
        <v>545</v>
      </c>
      <c r="BL65" s="13" t="s">
        <v>545</v>
      </c>
      <c r="BM65" s="13">
        <v>57</v>
      </c>
      <c r="BN65" s="13">
        <v>5</v>
      </c>
      <c r="BO65" s="13" t="s">
        <v>545</v>
      </c>
      <c r="BP65" s="13" t="s">
        <v>545</v>
      </c>
      <c r="BQ65" s="13" t="s">
        <v>545</v>
      </c>
      <c r="BR65" s="13" t="s">
        <v>545</v>
      </c>
      <c r="BS65" s="13" t="s">
        <v>545</v>
      </c>
      <c r="BT65" s="13" t="s">
        <v>545</v>
      </c>
      <c r="BU65" s="13" t="s">
        <v>545</v>
      </c>
      <c r="BV65" s="13" t="s">
        <v>545</v>
      </c>
      <c r="BW65" s="13">
        <v>22</v>
      </c>
      <c r="BX65" s="13">
        <v>10</v>
      </c>
      <c r="BY65" s="13">
        <v>13</v>
      </c>
      <c r="BZ65" s="13">
        <v>8</v>
      </c>
      <c r="CA65" s="13" t="s">
        <v>545</v>
      </c>
      <c r="CB65" s="13" t="s">
        <v>545</v>
      </c>
      <c r="CC65" s="13" t="s">
        <v>545</v>
      </c>
      <c r="CD65" s="13" t="s">
        <v>545</v>
      </c>
      <c r="CE65" s="13" t="s">
        <v>545</v>
      </c>
      <c r="CF65" s="13" t="s">
        <v>545</v>
      </c>
      <c r="CG65" s="13">
        <v>1</v>
      </c>
      <c r="CH65" s="13" t="s">
        <v>545</v>
      </c>
      <c r="CI65" s="13" t="s">
        <v>545</v>
      </c>
      <c r="CJ65" s="13" t="s">
        <v>545</v>
      </c>
      <c r="CK65" s="13">
        <v>2</v>
      </c>
      <c r="CL65" s="13" t="s">
        <v>545</v>
      </c>
      <c r="CM65" s="13">
        <v>96</v>
      </c>
      <c r="CN65" s="13" t="s">
        <v>545</v>
      </c>
      <c r="CO65" s="13" t="s">
        <v>545</v>
      </c>
      <c r="CP65" s="13" t="s">
        <v>545</v>
      </c>
      <c r="CQ65" s="13">
        <v>968</v>
      </c>
      <c r="CR65" s="13">
        <v>174</v>
      </c>
      <c r="CS65" s="13">
        <v>464</v>
      </c>
      <c r="CT65" s="13">
        <v>1</v>
      </c>
      <c r="CU65" s="13" t="s">
        <v>545</v>
      </c>
      <c r="CV65" s="13">
        <v>13</v>
      </c>
      <c r="CW65" s="13" t="s">
        <v>545</v>
      </c>
      <c r="CX65" s="13">
        <v>34</v>
      </c>
      <c r="CY65" s="13" t="s">
        <v>545</v>
      </c>
      <c r="CZ65" s="13">
        <v>2</v>
      </c>
      <c r="DA65" s="13" t="s">
        <v>545</v>
      </c>
      <c r="DB65" s="13" t="s">
        <v>545</v>
      </c>
      <c r="DC65" s="32" t="s">
        <v>784</v>
      </c>
    </row>
    <row r="66" spans="1:107" ht="19">
      <c r="A66" s="9" t="s">
        <v>233</v>
      </c>
      <c r="B66" s="9" t="s">
        <v>234</v>
      </c>
      <c r="C66" s="13">
        <v>555</v>
      </c>
      <c r="D66" s="13">
        <v>25</v>
      </c>
      <c r="E66" s="13" t="s">
        <v>545</v>
      </c>
      <c r="F66" s="13">
        <v>9</v>
      </c>
      <c r="G66" s="13">
        <v>101</v>
      </c>
      <c r="H66" s="13">
        <v>551</v>
      </c>
      <c r="I66" s="13">
        <v>42</v>
      </c>
      <c r="J66" s="13">
        <v>550</v>
      </c>
      <c r="K66" s="13">
        <v>468</v>
      </c>
      <c r="L66" s="13">
        <v>53</v>
      </c>
      <c r="M66" s="13">
        <v>177</v>
      </c>
      <c r="N66" s="13">
        <v>134</v>
      </c>
      <c r="O66" s="13">
        <v>401</v>
      </c>
      <c r="P66" s="13">
        <v>629</v>
      </c>
      <c r="Q66" s="13">
        <v>170</v>
      </c>
      <c r="R66" s="13">
        <v>590</v>
      </c>
      <c r="S66" s="13">
        <v>316</v>
      </c>
      <c r="T66" s="13">
        <v>122</v>
      </c>
      <c r="U66" s="13">
        <v>34</v>
      </c>
      <c r="V66" s="13">
        <v>26</v>
      </c>
      <c r="W66" s="13">
        <v>375</v>
      </c>
      <c r="X66" s="13">
        <v>491</v>
      </c>
      <c r="Y66" s="13">
        <v>179</v>
      </c>
      <c r="Z66" s="13">
        <v>150</v>
      </c>
      <c r="AA66" s="13">
        <v>223</v>
      </c>
      <c r="AB66" s="13">
        <v>94</v>
      </c>
      <c r="AC66" s="13">
        <v>103</v>
      </c>
      <c r="AD66" s="13">
        <v>181</v>
      </c>
      <c r="AE66" s="13">
        <v>129</v>
      </c>
      <c r="AF66" s="13">
        <v>35</v>
      </c>
      <c r="AG66" s="13">
        <v>125</v>
      </c>
      <c r="AH66" s="13">
        <v>602</v>
      </c>
      <c r="AI66" s="13">
        <v>704</v>
      </c>
      <c r="AJ66" s="13">
        <v>150</v>
      </c>
      <c r="AK66" s="13">
        <v>188</v>
      </c>
      <c r="AL66" s="13">
        <v>80</v>
      </c>
      <c r="AM66" s="13">
        <v>515</v>
      </c>
      <c r="AN66" s="13">
        <v>151</v>
      </c>
      <c r="AO66" s="13">
        <v>215</v>
      </c>
      <c r="AP66" s="13">
        <v>691</v>
      </c>
      <c r="AQ66" s="13">
        <v>553</v>
      </c>
      <c r="AR66" s="13">
        <v>5</v>
      </c>
      <c r="AS66" s="13">
        <v>223</v>
      </c>
      <c r="AT66" s="13">
        <v>40</v>
      </c>
      <c r="AU66" s="13">
        <v>146</v>
      </c>
      <c r="AV66" s="13">
        <v>269</v>
      </c>
      <c r="AW66" s="13">
        <v>2</v>
      </c>
      <c r="AX66" s="13">
        <v>57</v>
      </c>
      <c r="AY66" s="13">
        <v>164</v>
      </c>
      <c r="AZ66" s="13">
        <v>27</v>
      </c>
      <c r="BA66" s="13">
        <v>5</v>
      </c>
      <c r="BB66" s="13">
        <v>30</v>
      </c>
      <c r="BC66" s="13">
        <v>5</v>
      </c>
      <c r="BD66" s="13">
        <v>542</v>
      </c>
      <c r="BE66" s="13">
        <v>19</v>
      </c>
      <c r="BF66" s="13" t="s">
        <v>785</v>
      </c>
      <c r="BG66" s="13">
        <v>923</v>
      </c>
      <c r="BH66" s="13" t="s">
        <v>786</v>
      </c>
      <c r="BI66" s="13" t="s">
        <v>787</v>
      </c>
      <c r="BJ66" s="13">
        <v>229</v>
      </c>
      <c r="BK66" s="13" t="s">
        <v>788</v>
      </c>
      <c r="BL66" s="13">
        <v>100</v>
      </c>
      <c r="BM66" s="13">
        <v>112</v>
      </c>
      <c r="BN66" s="13" t="s">
        <v>789</v>
      </c>
      <c r="BO66" s="13">
        <v>801</v>
      </c>
      <c r="BP66" s="13">
        <v>57</v>
      </c>
      <c r="BQ66" s="13">
        <v>296</v>
      </c>
      <c r="BR66" s="13">
        <v>131</v>
      </c>
      <c r="BS66" s="13">
        <v>260</v>
      </c>
      <c r="BT66" s="13">
        <v>63</v>
      </c>
      <c r="BU66" s="13">
        <v>345</v>
      </c>
      <c r="BV66" s="13">
        <v>24</v>
      </c>
      <c r="BW66" s="13">
        <v>689</v>
      </c>
      <c r="BX66" s="13">
        <v>168</v>
      </c>
      <c r="BY66" s="13">
        <v>187</v>
      </c>
      <c r="BZ66" s="13">
        <v>230</v>
      </c>
      <c r="CA66" s="13" t="s">
        <v>545</v>
      </c>
      <c r="CB66" s="13">
        <v>39</v>
      </c>
      <c r="CC66" s="13">
        <v>72</v>
      </c>
      <c r="CD66" s="13">
        <v>18</v>
      </c>
      <c r="CE66" s="13">
        <v>160</v>
      </c>
      <c r="CF66" s="13">
        <v>235</v>
      </c>
      <c r="CG66" s="13">
        <v>75</v>
      </c>
      <c r="CH66" s="13">
        <v>56</v>
      </c>
      <c r="CI66" s="13">
        <v>95</v>
      </c>
      <c r="CJ66" s="13">
        <v>2</v>
      </c>
      <c r="CK66" s="13">
        <v>625</v>
      </c>
      <c r="CL66" s="13">
        <v>172</v>
      </c>
      <c r="CM66" s="13">
        <v>93</v>
      </c>
      <c r="CN66" s="13">
        <v>26</v>
      </c>
      <c r="CO66" s="13">
        <v>157</v>
      </c>
      <c r="CP66" s="13">
        <v>433</v>
      </c>
      <c r="CQ66" s="13">
        <v>946</v>
      </c>
      <c r="CR66" s="13" t="s">
        <v>790</v>
      </c>
      <c r="CS66" s="13" t="s">
        <v>791</v>
      </c>
      <c r="CT66" s="13" t="s">
        <v>792</v>
      </c>
      <c r="CU66" s="13">
        <v>64</v>
      </c>
      <c r="CV66" s="13">
        <v>13</v>
      </c>
      <c r="CW66" s="13">
        <v>16</v>
      </c>
      <c r="CX66" s="13">
        <v>135</v>
      </c>
      <c r="CY66" s="13">
        <v>21</v>
      </c>
      <c r="CZ66" s="13">
        <v>49</v>
      </c>
      <c r="DA66" s="13">
        <v>107</v>
      </c>
      <c r="DB66" s="13" t="s">
        <v>545</v>
      </c>
      <c r="DC66" s="32" t="s">
        <v>793</v>
      </c>
    </row>
    <row r="67" spans="1:107" ht="19">
      <c r="A67" s="9" t="s">
        <v>235</v>
      </c>
      <c r="B67" s="9" t="s">
        <v>236</v>
      </c>
      <c r="C67" s="13" t="s">
        <v>545</v>
      </c>
      <c r="D67" s="13" t="s">
        <v>545</v>
      </c>
      <c r="E67" s="13">
        <v>46</v>
      </c>
      <c r="F67" s="13" t="s">
        <v>545</v>
      </c>
      <c r="G67" s="13">
        <v>309</v>
      </c>
      <c r="H67" s="13">
        <v>54</v>
      </c>
      <c r="I67" s="13" t="s">
        <v>545</v>
      </c>
      <c r="J67" s="13" t="s">
        <v>545</v>
      </c>
      <c r="K67" s="13" t="s">
        <v>545</v>
      </c>
      <c r="L67" s="13" t="s">
        <v>545</v>
      </c>
      <c r="M67" s="13">
        <v>1</v>
      </c>
      <c r="N67" s="13">
        <v>3</v>
      </c>
      <c r="O67" s="13" t="s">
        <v>545</v>
      </c>
      <c r="P67" s="13">
        <v>1</v>
      </c>
      <c r="Q67" s="13" t="s">
        <v>545</v>
      </c>
      <c r="R67" s="13">
        <v>8</v>
      </c>
      <c r="S67" s="13" t="s">
        <v>545</v>
      </c>
      <c r="T67" s="13" t="s">
        <v>545</v>
      </c>
      <c r="U67" s="13" t="s">
        <v>545</v>
      </c>
      <c r="V67" s="13" t="s">
        <v>545</v>
      </c>
      <c r="W67" s="13" t="s">
        <v>545</v>
      </c>
      <c r="X67" s="13" t="s">
        <v>545</v>
      </c>
      <c r="Y67" s="13">
        <v>1</v>
      </c>
      <c r="Z67" s="13">
        <v>151</v>
      </c>
      <c r="AA67" s="13" t="s">
        <v>545</v>
      </c>
      <c r="AB67" s="13" t="s">
        <v>545</v>
      </c>
      <c r="AC67" s="13" t="s">
        <v>545</v>
      </c>
      <c r="AD67" s="13" t="s">
        <v>545</v>
      </c>
      <c r="AE67" s="13" t="s">
        <v>545</v>
      </c>
      <c r="AF67" s="13" t="s">
        <v>545</v>
      </c>
      <c r="AG67" s="13" t="s">
        <v>545</v>
      </c>
      <c r="AH67" s="13">
        <v>2</v>
      </c>
      <c r="AI67" s="13">
        <v>2</v>
      </c>
      <c r="AJ67" s="13">
        <v>10</v>
      </c>
      <c r="AK67" s="13">
        <v>10</v>
      </c>
      <c r="AL67" s="13" t="s">
        <v>545</v>
      </c>
      <c r="AM67" s="13">
        <v>24</v>
      </c>
      <c r="AN67" s="13">
        <v>7</v>
      </c>
      <c r="AO67" s="13">
        <v>1</v>
      </c>
      <c r="AP67" s="13" t="s">
        <v>545</v>
      </c>
      <c r="AQ67" s="13">
        <v>20</v>
      </c>
      <c r="AR67" s="13" t="s">
        <v>545</v>
      </c>
      <c r="AS67" s="13" t="s">
        <v>545</v>
      </c>
      <c r="AT67" s="13">
        <v>17</v>
      </c>
      <c r="AU67" s="13" t="s">
        <v>545</v>
      </c>
      <c r="AV67" s="13" t="s">
        <v>545</v>
      </c>
      <c r="AW67" s="13" t="s">
        <v>545</v>
      </c>
      <c r="AX67" s="13" t="s">
        <v>545</v>
      </c>
      <c r="AY67" s="13">
        <v>3</v>
      </c>
      <c r="AZ67" s="13">
        <v>1</v>
      </c>
      <c r="BA67" s="13" t="s">
        <v>545</v>
      </c>
      <c r="BB67" s="13" t="s">
        <v>545</v>
      </c>
      <c r="BC67" s="13" t="s">
        <v>545</v>
      </c>
      <c r="BD67" s="13" t="s">
        <v>545</v>
      </c>
      <c r="BE67" s="13" t="s">
        <v>545</v>
      </c>
      <c r="BF67" s="13">
        <v>9</v>
      </c>
      <c r="BG67" s="13" t="s">
        <v>545</v>
      </c>
      <c r="BH67" s="13" t="s">
        <v>545</v>
      </c>
      <c r="BI67" s="13" t="s">
        <v>545</v>
      </c>
      <c r="BJ67" s="13" t="s">
        <v>545</v>
      </c>
      <c r="BK67" s="13" t="s">
        <v>545</v>
      </c>
      <c r="BL67" s="13" t="s">
        <v>794</v>
      </c>
      <c r="BM67" s="13" t="s">
        <v>545</v>
      </c>
      <c r="BN67" s="13" t="s">
        <v>795</v>
      </c>
      <c r="BO67" s="13">
        <v>1</v>
      </c>
      <c r="BP67" s="13" t="s">
        <v>545</v>
      </c>
      <c r="BQ67" s="13" t="s">
        <v>545</v>
      </c>
      <c r="BR67" s="13" t="s">
        <v>545</v>
      </c>
      <c r="BS67" s="13" t="s">
        <v>545</v>
      </c>
      <c r="BT67" s="13" t="s">
        <v>545</v>
      </c>
      <c r="BU67" s="13" t="s">
        <v>545</v>
      </c>
      <c r="BV67" s="13" t="s">
        <v>545</v>
      </c>
      <c r="BW67" s="13">
        <v>64</v>
      </c>
      <c r="BX67" s="13">
        <v>13</v>
      </c>
      <c r="BY67" s="13">
        <v>54</v>
      </c>
      <c r="BZ67" s="13" t="s">
        <v>545</v>
      </c>
      <c r="CA67" s="13" t="s">
        <v>545</v>
      </c>
      <c r="CB67" s="13" t="s">
        <v>545</v>
      </c>
      <c r="CC67" s="13" t="s">
        <v>545</v>
      </c>
      <c r="CD67" s="13" t="s">
        <v>545</v>
      </c>
      <c r="CE67" s="13" t="s">
        <v>545</v>
      </c>
      <c r="CF67" s="13" t="s">
        <v>545</v>
      </c>
      <c r="CG67" s="13" t="s">
        <v>545</v>
      </c>
      <c r="CH67" s="13" t="s">
        <v>545</v>
      </c>
      <c r="CI67" s="13" t="s">
        <v>545</v>
      </c>
      <c r="CJ67" s="13" t="s">
        <v>545</v>
      </c>
      <c r="CK67" s="13" t="s">
        <v>545</v>
      </c>
      <c r="CL67" s="13" t="s">
        <v>545</v>
      </c>
      <c r="CM67" s="13">
        <v>782</v>
      </c>
      <c r="CN67" s="13" t="s">
        <v>545</v>
      </c>
      <c r="CO67" s="13" t="s">
        <v>545</v>
      </c>
      <c r="CP67" s="13" t="s">
        <v>545</v>
      </c>
      <c r="CQ67" s="13">
        <v>35</v>
      </c>
      <c r="CR67" s="13" t="s">
        <v>545</v>
      </c>
      <c r="CS67" s="13">
        <v>27</v>
      </c>
      <c r="CT67" s="13" t="s">
        <v>545</v>
      </c>
      <c r="CU67" s="13" t="s">
        <v>545</v>
      </c>
      <c r="CV67" s="13" t="s">
        <v>545</v>
      </c>
      <c r="CW67" s="13" t="s">
        <v>545</v>
      </c>
      <c r="CX67" s="13" t="s">
        <v>545</v>
      </c>
      <c r="CY67" s="13" t="s">
        <v>545</v>
      </c>
      <c r="CZ67" s="13" t="s">
        <v>545</v>
      </c>
      <c r="DA67" s="13" t="s">
        <v>545</v>
      </c>
      <c r="DB67" s="13" t="s">
        <v>545</v>
      </c>
      <c r="DC67" s="32" t="s">
        <v>796</v>
      </c>
    </row>
    <row r="68" spans="1:107" ht="19">
      <c r="A68" s="9" t="s">
        <v>237</v>
      </c>
      <c r="B68" s="9" t="s">
        <v>238</v>
      </c>
      <c r="C68" s="13" t="s">
        <v>545</v>
      </c>
      <c r="D68" s="13" t="s">
        <v>545</v>
      </c>
      <c r="E68" s="13" t="s">
        <v>545</v>
      </c>
      <c r="F68" s="13" t="s">
        <v>545</v>
      </c>
      <c r="G68" s="13">
        <v>170</v>
      </c>
      <c r="H68" s="13">
        <v>3</v>
      </c>
      <c r="I68" s="13" t="s">
        <v>545</v>
      </c>
      <c r="J68" s="13" t="s">
        <v>545</v>
      </c>
      <c r="K68" s="13" t="s">
        <v>545</v>
      </c>
      <c r="L68" s="13" t="s">
        <v>545</v>
      </c>
      <c r="M68" s="13" t="s">
        <v>545</v>
      </c>
      <c r="N68" s="13" t="s">
        <v>545</v>
      </c>
      <c r="O68" s="13" t="s">
        <v>545</v>
      </c>
      <c r="P68" s="13">
        <v>1</v>
      </c>
      <c r="Q68" s="13" t="s">
        <v>545</v>
      </c>
      <c r="R68" s="13">
        <v>6</v>
      </c>
      <c r="S68" s="13" t="s">
        <v>545</v>
      </c>
      <c r="T68" s="13">
        <v>5</v>
      </c>
      <c r="U68" s="13" t="s">
        <v>545</v>
      </c>
      <c r="V68" s="13" t="s">
        <v>545</v>
      </c>
      <c r="W68" s="13" t="s">
        <v>545</v>
      </c>
      <c r="X68" s="13" t="s">
        <v>545</v>
      </c>
      <c r="Y68" s="13" t="s">
        <v>545</v>
      </c>
      <c r="Z68" s="13" t="s">
        <v>545</v>
      </c>
      <c r="AA68" s="13" t="s">
        <v>545</v>
      </c>
      <c r="AB68" s="13" t="s">
        <v>545</v>
      </c>
      <c r="AC68" s="13" t="s">
        <v>545</v>
      </c>
      <c r="AD68" s="13" t="s">
        <v>545</v>
      </c>
      <c r="AE68" s="13" t="s">
        <v>545</v>
      </c>
      <c r="AF68" s="13" t="s">
        <v>545</v>
      </c>
      <c r="AG68" s="13" t="s">
        <v>545</v>
      </c>
      <c r="AH68" s="13">
        <v>1</v>
      </c>
      <c r="AI68" s="13" t="s">
        <v>545</v>
      </c>
      <c r="AJ68" s="13" t="s">
        <v>545</v>
      </c>
      <c r="AK68" s="13">
        <v>15</v>
      </c>
      <c r="AL68" s="13" t="s">
        <v>545</v>
      </c>
      <c r="AM68" s="13">
        <v>5</v>
      </c>
      <c r="AN68" s="13">
        <v>6</v>
      </c>
      <c r="AO68" s="13">
        <v>4</v>
      </c>
      <c r="AP68" s="13" t="s">
        <v>545</v>
      </c>
      <c r="AQ68" s="13">
        <v>2</v>
      </c>
      <c r="AR68" s="13" t="s">
        <v>545</v>
      </c>
      <c r="AS68" s="13">
        <v>70</v>
      </c>
      <c r="AT68" s="13">
        <v>13</v>
      </c>
      <c r="AU68" s="13">
        <v>11</v>
      </c>
      <c r="AV68" s="13" t="s">
        <v>545</v>
      </c>
      <c r="AW68" s="13" t="s">
        <v>545</v>
      </c>
      <c r="AX68" s="13" t="s">
        <v>545</v>
      </c>
      <c r="AY68" s="13">
        <v>1</v>
      </c>
      <c r="AZ68" s="13">
        <v>1</v>
      </c>
      <c r="BA68" s="13" t="s">
        <v>545</v>
      </c>
      <c r="BB68" s="13" t="s">
        <v>545</v>
      </c>
      <c r="BC68" s="13" t="s">
        <v>545</v>
      </c>
      <c r="BD68" s="13">
        <v>14</v>
      </c>
      <c r="BE68" s="13" t="s">
        <v>545</v>
      </c>
      <c r="BF68" s="13">
        <v>42</v>
      </c>
      <c r="BG68" s="13">
        <v>57</v>
      </c>
      <c r="BH68" s="13" t="s">
        <v>545</v>
      </c>
      <c r="BI68" s="13" t="s">
        <v>545</v>
      </c>
      <c r="BJ68" s="13" t="s">
        <v>545</v>
      </c>
      <c r="BK68" s="13" t="s">
        <v>545</v>
      </c>
      <c r="BL68" s="13">
        <v>384</v>
      </c>
      <c r="BM68" s="13" t="s">
        <v>797</v>
      </c>
      <c r="BN68" s="13" t="s">
        <v>798</v>
      </c>
      <c r="BO68" s="13">
        <v>213</v>
      </c>
      <c r="BP68" s="13">
        <v>1</v>
      </c>
      <c r="BQ68" s="13">
        <v>120</v>
      </c>
      <c r="BR68" s="13" t="s">
        <v>545</v>
      </c>
      <c r="BS68" s="13">
        <v>21</v>
      </c>
      <c r="BT68" s="13">
        <v>22</v>
      </c>
      <c r="BU68" s="13" t="s">
        <v>545</v>
      </c>
      <c r="BV68" s="13" t="s">
        <v>545</v>
      </c>
      <c r="BW68" s="13" t="s">
        <v>799</v>
      </c>
      <c r="BX68" s="13">
        <v>170</v>
      </c>
      <c r="BY68" s="13">
        <v>141</v>
      </c>
      <c r="BZ68" s="13">
        <v>6</v>
      </c>
      <c r="CA68" s="13" t="s">
        <v>545</v>
      </c>
      <c r="CB68" s="13" t="s">
        <v>545</v>
      </c>
      <c r="CC68" s="13" t="s">
        <v>545</v>
      </c>
      <c r="CD68" s="13">
        <v>248</v>
      </c>
      <c r="CE68" s="13">
        <v>527</v>
      </c>
      <c r="CF68" s="13" t="s">
        <v>545</v>
      </c>
      <c r="CG68" s="13" t="s">
        <v>545</v>
      </c>
      <c r="CH68" s="13">
        <v>269</v>
      </c>
      <c r="CI68" s="13">
        <v>105</v>
      </c>
      <c r="CJ68" s="13" t="s">
        <v>545</v>
      </c>
      <c r="CK68" s="13" t="s">
        <v>545</v>
      </c>
      <c r="CL68" s="13">
        <v>111</v>
      </c>
      <c r="CM68" s="13" t="s">
        <v>800</v>
      </c>
      <c r="CN68" s="13">
        <v>2</v>
      </c>
      <c r="CO68" s="13" t="s">
        <v>545</v>
      </c>
      <c r="CP68" s="13">
        <v>263</v>
      </c>
      <c r="CQ68" s="13">
        <v>321</v>
      </c>
      <c r="CR68" s="13" t="s">
        <v>545</v>
      </c>
      <c r="CS68" s="13">
        <v>64</v>
      </c>
      <c r="CT68" s="13" t="s">
        <v>545</v>
      </c>
      <c r="CU68" s="13">
        <v>14</v>
      </c>
      <c r="CV68" s="13" t="s">
        <v>545</v>
      </c>
      <c r="CW68" s="13" t="s">
        <v>545</v>
      </c>
      <c r="CX68" s="13">
        <v>56</v>
      </c>
      <c r="CY68" s="13">
        <v>14</v>
      </c>
      <c r="CZ68" s="13" t="s">
        <v>545</v>
      </c>
      <c r="DA68" s="13">
        <v>1</v>
      </c>
      <c r="DB68" s="13" t="s">
        <v>545</v>
      </c>
      <c r="DC68" s="32" t="s">
        <v>801</v>
      </c>
    </row>
    <row r="69" spans="1:107" ht="19">
      <c r="A69" s="9" t="s">
        <v>239</v>
      </c>
      <c r="B69" s="9" t="s">
        <v>240</v>
      </c>
      <c r="C69" s="13" t="s">
        <v>545</v>
      </c>
      <c r="D69" s="13" t="s">
        <v>545</v>
      </c>
      <c r="E69" s="13">
        <v>64</v>
      </c>
      <c r="F69" s="13" t="s">
        <v>545</v>
      </c>
      <c r="G69" s="13">
        <v>5</v>
      </c>
      <c r="H69" s="13">
        <v>7</v>
      </c>
      <c r="I69" s="13" t="s">
        <v>545</v>
      </c>
      <c r="J69" s="13">
        <v>62</v>
      </c>
      <c r="K69" s="13">
        <v>3</v>
      </c>
      <c r="L69" s="13">
        <v>1</v>
      </c>
      <c r="M69" s="13">
        <v>1</v>
      </c>
      <c r="N69" s="13">
        <v>6</v>
      </c>
      <c r="O69" s="13">
        <v>7</v>
      </c>
      <c r="P69" s="13">
        <v>19</v>
      </c>
      <c r="Q69" s="13" t="s">
        <v>545</v>
      </c>
      <c r="R69" s="13">
        <v>270</v>
      </c>
      <c r="S69" s="13">
        <v>6</v>
      </c>
      <c r="T69" s="13">
        <v>15</v>
      </c>
      <c r="U69" s="13">
        <v>62</v>
      </c>
      <c r="V69" s="13">
        <v>3</v>
      </c>
      <c r="W69" s="13" t="s">
        <v>545</v>
      </c>
      <c r="X69" s="13">
        <v>11</v>
      </c>
      <c r="Y69" s="13" t="s">
        <v>545</v>
      </c>
      <c r="Z69" s="13" t="s">
        <v>545</v>
      </c>
      <c r="AA69" s="13">
        <v>10</v>
      </c>
      <c r="AB69" s="13">
        <v>7</v>
      </c>
      <c r="AC69" s="13">
        <v>30</v>
      </c>
      <c r="AD69" s="13" t="s">
        <v>545</v>
      </c>
      <c r="AE69" s="13">
        <v>35</v>
      </c>
      <c r="AF69" s="13" t="s">
        <v>545</v>
      </c>
      <c r="AG69" s="13">
        <v>484</v>
      </c>
      <c r="AH69" s="13">
        <v>35</v>
      </c>
      <c r="AI69" s="13">
        <v>2</v>
      </c>
      <c r="AJ69" s="13">
        <v>15</v>
      </c>
      <c r="AK69" s="13" t="s">
        <v>545</v>
      </c>
      <c r="AL69" s="13">
        <v>7</v>
      </c>
      <c r="AM69" s="13">
        <v>36</v>
      </c>
      <c r="AN69" s="13">
        <v>130</v>
      </c>
      <c r="AO69" s="13">
        <v>30</v>
      </c>
      <c r="AP69" s="13">
        <v>876</v>
      </c>
      <c r="AQ69" s="13" t="s">
        <v>802</v>
      </c>
      <c r="AR69" s="13" t="s">
        <v>545</v>
      </c>
      <c r="AS69" s="13">
        <v>148</v>
      </c>
      <c r="AT69" s="13">
        <v>2</v>
      </c>
      <c r="AU69" s="13" t="s">
        <v>545</v>
      </c>
      <c r="AV69" s="13" t="s">
        <v>545</v>
      </c>
      <c r="AW69" s="13" t="s">
        <v>545</v>
      </c>
      <c r="AX69" s="13" t="s">
        <v>545</v>
      </c>
      <c r="AY69" s="13">
        <v>51</v>
      </c>
      <c r="AZ69" s="13" t="s">
        <v>545</v>
      </c>
      <c r="BA69" s="13" t="s">
        <v>545</v>
      </c>
      <c r="BB69" s="13">
        <v>33</v>
      </c>
      <c r="BC69" s="13">
        <v>2</v>
      </c>
      <c r="BD69" s="13">
        <v>163</v>
      </c>
      <c r="BE69" s="13">
        <v>3</v>
      </c>
      <c r="BF69" s="13" t="s">
        <v>545</v>
      </c>
      <c r="BG69" s="13">
        <v>478</v>
      </c>
      <c r="BH69" s="13" t="s">
        <v>803</v>
      </c>
      <c r="BI69" s="13" t="s">
        <v>804</v>
      </c>
      <c r="BJ69" s="13" t="s">
        <v>805</v>
      </c>
      <c r="BK69" s="13" t="s">
        <v>806</v>
      </c>
      <c r="BL69" s="13" t="s">
        <v>807</v>
      </c>
      <c r="BM69" s="13">
        <v>237</v>
      </c>
      <c r="BN69" s="13" t="s">
        <v>808</v>
      </c>
      <c r="BO69" s="13">
        <v>246</v>
      </c>
      <c r="BP69" s="13" t="s">
        <v>545</v>
      </c>
      <c r="BQ69" s="13">
        <v>142</v>
      </c>
      <c r="BR69" s="13" t="s">
        <v>545</v>
      </c>
      <c r="BS69" s="13">
        <v>24</v>
      </c>
      <c r="BT69" s="13">
        <v>576</v>
      </c>
      <c r="BU69" s="13">
        <v>868</v>
      </c>
      <c r="BV69" s="13" t="s">
        <v>545</v>
      </c>
      <c r="BW69" s="13" t="s">
        <v>809</v>
      </c>
      <c r="BX69" s="13">
        <v>21</v>
      </c>
      <c r="BY69" s="13">
        <v>388</v>
      </c>
      <c r="BZ69" s="13" t="s">
        <v>545</v>
      </c>
      <c r="CA69" s="13" t="s">
        <v>545</v>
      </c>
      <c r="CB69" s="13">
        <v>5</v>
      </c>
      <c r="CC69" s="13" t="s">
        <v>545</v>
      </c>
      <c r="CD69" s="13" t="s">
        <v>545</v>
      </c>
      <c r="CE69" s="13">
        <v>4</v>
      </c>
      <c r="CF69" s="13">
        <v>120</v>
      </c>
      <c r="CG69" s="13" t="s">
        <v>545</v>
      </c>
      <c r="CH69" s="13" t="s">
        <v>545</v>
      </c>
      <c r="CI69" s="13" t="s">
        <v>545</v>
      </c>
      <c r="CJ69" s="13" t="s">
        <v>545</v>
      </c>
      <c r="CK69" s="13">
        <v>524</v>
      </c>
      <c r="CL69" s="13">
        <v>32</v>
      </c>
      <c r="CM69" s="13" t="s">
        <v>545</v>
      </c>
      <c r="CN69" s="13">
        <v>1</v>
      </c>
      <c r="CO69" s="13">
        <v>5</v>
      </c>
      <c r="CP69" s="13">
        <v>897</v>
      </c>
      <c r="CQ69" s="13">
        <v>284</v>
      </c>
      <c r="CR69" s="13">
        <v>42</v>
      </c>
      <c r="CS69" s="13" t="s">
        <v>545</v>
      </c>
      <c r="CT69" s="13">
        <v>10</v>
      </c>
      <c r="CU69" s="13" t="s">
        <v>545</v>
      </c>
      <c r="CV69" s="13" t="s">
        <v>545</v>
      </c>
      <c r="CW69" s="13" t="s">
        <v>545</v>
      </c>
      <c r="CX69" s="13" t="s">
        <v>545</v>
      </c>
      <c r="CY69" s="13" t="s">
        <v>545</v>
      </c>
      <c r="CZ69" s="13" t="s">
        <v>545</v>
      </c>
      <c r="DA69" s="13">
        <v>154</v>
      </c>
      <c r="DB69" s="13" t="s">
        <v>545</v>
      </c>
      <c r="DC69" s="32" t="s">
        <v>810</v>
      </c>
    </row>
    <row r="70" spans="1:107" ht="19">
      <c r="A70" s="9" t="s">
        <v>241</v>
      </c>
      <c r="B70" s="9" t="s">
        <v>242</v>
      </c>
      <c r="C70" s="13">
        <v>45</v>
      </c>
      <c r="D70" s="13">
        <v>2</v>
      </c>
      <c r="E70" s="13">
        <v>6</v>
      </c>
      <c r="F70" s="13" t="s">
        <v>545</v>
      </c>
      <c r="G70" s="13">
        <v>1</v>
      </c>
      <c r="H70" s="13">
        <v>9</v>
      </c>
      <c r="I70" s="13">
        <v>8</v>
      </c>
      <c r="J70" s="13">
        <v>50</v>
      </c>
      <c r="K70" s="13">
        <v>196</v>
      </c>
      <c r="L70" s="13">
        <v>8</v>
      </c>
      <c r="M70" s="13">
        <v>25</v>
      </c>
      <c r="N70" s="13">
        <v>14</v>
      </c>
      <c r="O70" s="13">
        <v>84</v>
      </c>
      <c r="P70" s="13">
        <v>251</v>
      </c>
      <c r="Q70" s="13">
        <v>46</v>
      </c>
      <c r="R70" s="13">
        <v>46</v>
      </c>
      <c r="S70" s="13">
        <v>58</v>
      </c>
      <c r="T70" s="13">
        <v>72</v>
      </c>
      <c r="U70" s="13">
        <v>39</v>
      </c>
      <c r="V70" s="13">
        <v>48</v>
      </c>
      <c r="W70" s="13">
        <v>88</v>
      </c>
      <c r="X70" s="13">
        <v>87</v>
      </c>
      <c r="Y70" s="13">
        <v>40</v>
      </c>
      <c r="Z70" s="13">
        <v>2</v>
      </c>
      <c r="AA70" s="13">
        <v>94</v>
      </c>
      <c r="AB70" s="13">
        <v>115</v>
      </c>
      <c r="AC70" s="13">
        <v>36</v>
      </c>
      <c r="AD70" s="13">
        <v>20</v>
      </c>
      <c r="AE70" s="13">
        <v>59</v>
      </c>
      <c r="AF70" s="13">
        <v>29</v>
      </c>
      <c r="AG70" s="13">
        <v>47</v>
      </c>
      <c r="AH70" s="13">
        <v>94</v>
      </c>
      <c r="AI70" s="13">
        <v>14</v>
      </c>
      <c r="AJ70" s="13">
        <v>50</v>
      </c>
      <c r="AK70" s="13">
        <v>10</v>
      </c>
      <c r="AL70" s="13">
        <v>81</v>
      </c>
      <c r="AM70" s="13">
        <v>105</v>
      </c>
      <c r="AN70" s="13">
        <v>310</v>
      </c>
      <c r="AO70" s="13">
        <v>153</v>
      </c>
      <c r="AP70" s="13">
        <v>44</v>
      </c>
      <c r="AQ70" s="13">
        <v>90</v>
      </c>
      <c r="AR70" s="13">
        <v>22</v>
      </c>
      <c r="AS70" s="13">
        <v>33</v>
      </c>
      <c r="AT70" s="13">
        <v>2</v>
      </c>
      <c r="AU70" s="13">
        <v>83</v>
      </c>
      <c r="AV70" s="13">
        <v>161</v>
      </c>
      <c r="AW70" s="13">
        <v>7</v>
      </c>
      <c r="AX70" s="13">
        <v>1</v>
      </c>
      <c r="AY70" s="13">
        <v>198</v>
      </c>
      <c r="AZ70" s="13">
        <v>190</v>
      </c>
      <c r="BA70" s="13">
        <v>15</v>
      </c>
      <c r="BB70" s="13">
        <v>21</v>
      </c>
      <c r="BC70" s="13">
        <v>2</v>
      </c>
      <c r="BD70" s="13">
        <v>22</v>
      </c>
      <c r="BE70" s="13">
        <v>6</v>
      </c>
      <c r="BF70" s="13">
        <v>37</v>
      </c>
      <c r="BG70" s="13">
        <v>151</v>
      </c>
      <c r="BH70" s="13" t="s">
        <v>811</v>
      </c>
      <c r="BI70" s="13" t="s">
        <v>812</v>
      </c>
      <c r="BJ70" s="13">
        <v>5</v>
      </c>
      <c r="BK70" s="13">
        <v>187</v>
      </c>
      <c r="BL70" s="13">
        <v>7</v>
      </c>
      <c r="BM70" s="13">
        <v>6</v>
      </c>
      <c r="BN70" s="13">
        <v>168</v>
      </c>
      <c r="BO70" s="13" t="s">
        <v>813</v>
      </c>
      <c r="BP70" s="13">
        <v>11</v>
      </c>
      <c r="BQ70" s="13">
        <v>92</v>
      </c>
      <c r="BR70" s="13">
        <v>309</v>
      </c>
      <c r="BS70" s="13">
        <v>93</v>
      </c>
      <c r="BT70" s="13">
        <v>160</v>
      </c>
      <c r="BU70" s="13">
        <v>271</v>
      </c>
      <c r="BV70" s="13">
        <v>532</v>
      </c>
      <c r="BW70" s="13" t="s">
        <v>814</v>
      </c>
      <c r="BX70" s="13">
        <v>880</v>
      </c>
      <c r="BY70" s="13" t="s">
        <v>815</v>
      </c>
      <c r="BZ70" s="13">
        <v>66</v>
      </c>
      <c r="CA70" s="13" t="s">
        <v>545</v>
      </c>
      <c r="CB70" s="13">
        <v>33</v>
      </c>
      <c r="CC70" s="13">
        <v>149</v>
      </c>
      <c r="CD70" s="13">
        <v>70</v>
      </c>
      <c r="CE70" s="13">
        <v>336</v>
      </c>
      <c r="CF70" s="13">
        <v>59</v>
      </c>
      <c r="CG70" s="13">
        <v>49</v>
      </c>
      <c r="CH70" s="13">
        <v>47</v>
      </c>
      <c r="CI70" s="13">
        <v>206</v>
      </c>
      <c r="CJ70" s="13">
        <v>36</v>
      </c>
      <c r="CK70" s="13">
        <v>142</v>
      </c>
      <c r="CL70" s="13">
        <v>78</v>
      </c>
      <c r="CM70" s="13">
        <v>161</v>
      </c>
      <c r="CN70" s="13">
        <v>8</v>
      </c>
      <c r="CO70" s="13">
        <v>16</v>
      </c>
      <c r="CP70" s="13">
        <v>406</v>
      </c>
      <c r="CQ70" s="13" t="s">
        <v>816</v>
      </c>
      <c r="CR70" s="13">
        <v>250</v>
      </c>
      <c r="CS70" s="13">
        <v>611</v>
      </c>
      <c r="CT70" s="13">
        <v>232</v>
      </c>
      <c r="CU70" s="13">
        <v>37</v>
      </c>
      <c r="CV70" s="13">
        <v>12</v>
      </c>
      <c r="CW70" s="13">
        <v>23</v>
      </c>
      <c r="CX70" s="13">
        <v>124</v>
      </c>
      <c r="CY70" s="13">
        <v>525</v>
      </c>
      <c r="CZ70" s="13">
        <v>30</v>
      </c>
      <c r="DA70" s="13">
        <v>59</v>
      </c>
      <c r="DB70" s="13" t="s">
        <v>545</v>
      </c>
      <c r="DC70" s="32" t="s">
        <v>817</v>
      </c>
    </row>
    <row r="71" spans="1:107" ht="19">
      <c r="A71" s="14" t="s">
        <v>243</v>
      </c>
      <c r="B71" s="14" t="s">
        <v>244</v>
      </c>
      <c r="C71" s="15" t="s">
        <v>545</v>
      </c>
      <c r="D71" s="15" t="s">
        <v>545</v>
      </c>
      <c r="E71" s="15" t="s">
        <v>545</v>
      </c>
      <c r="F71" s="15" t="s">
        <v>545</v>
      </c>
      <c r="G71" s="15" t="s">
        <v>545</v>
      </c>
      <c r="H71" s="15" t="s">
        <v>545</v>
      </c>
      <c r="I71" s="15" t="s">
        <v>545</v>
      </c>
      <c r="J71" s="15" t="s">
        <v>545</v>
      </c>
      <c r="K71" s="15" t="s">
        <v>545</v>
      </c>
      <c r="L71" s="15" t="s">
        <v>545</v>
      </c>
      <c r="M71" s="15" t="s">
        <v>545</v>
      </c>
      <c r="N71" s="15" t="s">
        <v>545</v>
      </c>
      <c r="O71" s="15" t="s">
        <v>545</v>
      </c>
      <c r="P71" s="15" t="s">
        <v>545</v>
      </c>
      <c r="Q71" s="15" t="s">
        <v>545</v>
      </c>
      <c r="R71" s="15" t="s">
        <v>545</v>
      </c>
      <c r="S71" s="15" t="s">
        <v>545</v>
      </c>
      <c r="T71" s="15" t="s">
        <v>545</v>
      </c>
      <c r="U71" s="15" t="s">
        <v>545</v>
      </c>
      <c r="V71" s="15" t="s">
        <v>545</v>
      </c>
      <c r="W71" s="15" t="s">
        <v>545</v>
      </c>
      <c r="X71" s="15" t="s">
        <v>545</v>
      </c>
      <c r="Y71" s="15" t="s">
        <v>545</v>
      </c>
      <c r="Z71" s="15" t="s">
        <v>545</v>
      </c>
      <c r="AA71" s="15" t="s">
        <v>545</v>
      </c>
      <c r="AB71" s="15" t="s">
        <v>545</v>
      </c>
      <c r="AC71" s="15" t="s">
        <v>545</v>
      </c>
      <c r="AD71" s="15" t="s">
        <v>545</v>
      </c>
      <c r="AE71" s="15" t="s">
        <v>545</v>
      </c>
      <c r="AF71" s="15" t="s">
        <v>545</v>
      </c>
      <c r="AG71" s="15" t="s">
        <v>545</v>
      </c>
      <c r="AH71" s="15" t="s">
        <v>545</v>
      </c>
      <c r="AI71" s="15" t="s">
        <v>545</v>
      </c>
      <c r="AJ71" s="15" t="s">
        <v>545</v>
      </c>
      <c r="AK71" s="15" t="s">
        <v>545</v>
      </c>
      <c r="AL71" s="15" t="s">
        <v>545</v>
      </c>
      <c r="AM71" s="15" t="s">
        <v>545</v>
      </c>
      <c r="AN71" s="15" t="s">
        <v>545</v>
      </c>
      <c r="AO71" s="15" t="s">
        <v>545</v>
      </c>
      <c r="AP71" s="15" t="s">
        <v>545</v>
      </c>
      <c r="AQ71" s="15" t="s">
        <v>545</v>
      </c>
      <c r="AR71" s="15" t="s">
        <v>545</v>
      </c>
      <c r="AS71" s="15" t="s">
        <v>545</v>
      </c>
      <c r="AT71" s="15" t="s">
        <v>545</v>
      </c>
      <c r="AU71" s="15" t="s">
        <v>545</v>
      </c>
      <c r="AV71" s="15" t="s">
        <v>545</v>
      </c>
      <c r="AW71" s="15" t="s">
        <v>545</v>
      </c>
      <c r="AX71" s="15" t="s">
        <v>545</v>
      </c>
      <c r="AY71" s="15" t="s">
        <v>545</v>
      </c>
      <c r="AZ71" s="15" t="s">
        <v>545</v>
      </c>
      <c r="BA71" s="15" t="s">
        <v>545</v>
      </c>
      <c r="BB71" s="15" t="s">
        <v>545</v>
      </c>
      <c r="BC71" s="15" t="s">
        <v>545</v>
      </c>
      <c r="BD71" s="15" t="s">
        <v>545</v>
      </c>
      <c r="BE71" s="15" t="s">
        <v>545</v>
      </c>
      <c r="BF71" s="15">
        <v>40</v>
      </c>
      <c r="BG71" s="15" t="s">
        <v>545</v>
      </c>
      <c r="BH71" s="15" t="s">
        <v>545</v>
      </c>
      <c r="BI71" s="15">
        <v>370</v>
      </c>
      <c r="BJ71" s="15">
        <v>3</v>
      </c>
      <c r="BK71" s="15">
        <v>10</v>
      </c>
      <c r="BL71" s="15" t="s">
        <v>545</v>
      </c>
      <c r="BM71" s="15">
        <v>761</v>
      </c>
      <c r="BN71" s="15">
        <v>42</v>
      </c>
      <c r="BO71" s="15">
        <v>3</v>
      </c>
      <c r="BP71" s="15" t="s">
        <v>818</v>
      </c>
      <c r="BQ71" s="15">
        <v>6</v>
      </c>
      <c r="BR71" s="15" t="s">
        <v>545</v>
      </c>
      <c r="BS71" s="15">
        <v>85</v>
      </c>
      <c r="BT71" s="15" t="s">
        <v>545</v>
      </c>
      <c r="BU71" s="15">
        <v>569</v>
      </c>
      <c r="BV71" s="15" t="s">
        <v>545</v>
      </c>
      <c r="BW71" s="15">
        <v>880</v>
      </c>
      <c r="BX71" s="15">
        <v>678</v>
      </c>
      <c r="BY71" s="15">
        <v>402</v>
      </c>
      <c r="BZ71" s="15">
        <v>54</v>
      </c>
      <c r="CA71" s="15" t="s">
        <v>545</v>
      </c>
      <c r="CB71" s="15" t="s">
        <v>545</v>
      </c>
      <c r="CC71" s="15">
        <v>107</v>
      </c>
      <c r="CD71" s="15">
        <v>157</v>
      </c>
      <c r="CE71" s="15">
        <v>799</v>
      </c>
      <c r="CF71" s="15" t="s">
        <v>545</v>
      </c>
      <c r="CG71" s="15" t="s">
        <v>545</v>
      </c>
      <c r="CH71" s="15">
        <v>205</v>
      </c>
      <c r="CI71" s="15">
        <v>254</v>
      </c>
      <c r="CJ71" s="15" t="s">
        <v>545</v>
      </c>
      <c r="CK71" s="15" t="s">
        <v>545</v>
      </c>
      <c r="CL71" s="15">
        <v>295</v>
      </c>
      <c r="CM71" s="15" t="s">
        <v>819</v>
      </c>
      <c r="CN71" s="15" t="s">
        <v>545</v>
      </c>
      <c r="CO71" s="15" t="s">
        <v>545</v>
      </c>
      <c r="CP71" s="15">
        <v>366</v>
      </c>
      <c r="CQ71" s="15" t="s">
        <v>820</v>
      </c>
      <c r="CR71" s="15">
        <v>102</v>
      </c>
      <c r="CS71" s="15">
        <v>271</v>
      </c>
      <c r="CT71" s="15">
        <v>379</v>
      </c>
      <c r="CU71" s="15">
        <v>19</v>
      </c>
      <c r="CV71" s="15" t="s">
        <v>545</v>
      </c>
      <c r="CW71" s="15" t="s">
        <v>545</v>
      </c>
      <c r="CX71" s="15">
        <v>12</v>
      </c>
      <c r="CY71" s="15" t="s">
        <v>545</v>
      </c>
      <c r="CZ71" s="15" t="s">
        <v>545</v>
      </c>
      <c r="DA71" s="15" t="s">
        <v>545</v>
      </c>
      <c r="DB71" s="15" t="s">
        <v>545</v>
      </c>
      <c r="DC71" s="34" t="s">
        <v>821</v>
      </c>
    </row>
    <row r="72" spans="1:107" ht="19">
      <c r="A72" s="9" t="s">
        <v>245</v>
      </c>
      <c r="B72" s="9" t="s">
        <v>246</v>
      </c>
      <c r="C72" s="13">
        <v>14</v>
      </c>
      <c r="D72" s="13">
        <v>2</v>
      </c>
      <c r="E72" s="13">
        <v>5</v>
      </c>
      <c r="F72" s="13" t="s">
        <v>545</v>
      </c>
      <c r="G72" s="13">
        <v>94</v>
      </c>
      <c r="H72" s="13">
        <v>4</v>
      </c>
      <c r="I72" s="13">
        <v>16</v>
      </c>
      <c r="J72" s="13">
        <v>156</v>
      </c>
      <c r="K72" s="13">
        <v>60</v>
      </c>
      <c r="L72" s="13">
        <v>2</v>
      </c>
      <c r="M72" s="13">
        <v>620</v>
      </c>
      <c r="N72" s="13">
        <v>39</v>
      </c>
      <c r="O72" s="13">
        <v>61</v>
      </c>
      <c r="P72" s="13">
        <v>126</v>
      </c>
      <c r="Q72" s="13">
        <v>10</v>
      </c>
      <c r="R72" s="13">
        <v>15</v>
      </c>
      <c r="S72" s="13">
        <v>9</v>
      </c>
      <c r="T72" s="13">
        <v>6</v>
      </c>
      <c r="U72" s="13">
        <v>10</v>
      </c>
      <c r="V72" s="13">
        <v>3</v>
      </c>
      <c r="W72" s="13">
        <v>57</v>
      </c>
      <c r="X72" s="13">
        <v>7</v>
      </c>
      <c r="Y72" s="13" t="s">
        <v>545</v>
      </c>
      <c r="Z72" s="13">
        <v>4</v>
      </c>
      <c r="AA72" s="13">
        <v>4</v>
      </c>
      <c r="AB72" s="13">
        <v>15</v>
      </c>
      <c r="AC72" s="13">
        <v>3</v>
      </c>
      <c r="AD72" s="13">
        <v>2</v>
      </c>
      <c r="AE72" s="13">
        <v>24</v>
      </c>
      <c r="AF72" s="13">
        <v>6</v>
      </c>
      <c r="AG72" s="13">
        <v>45</v>
      </c>
      <c r="AH72" s="13">
        <v>33</v>
      </c>
      <c r="AI72" s="13">
        <v>20</v>
      </c>
      <c r="AJ72" s="13">
        <v>15</v>
      </c>
      <c r="AK72" s="13">
        <v>9</v>
      </c>
      <c r="AL72" s="13">
        <v>3</v>
      </c>
      <c r="AM72" s="13">
        <v>23</v>
      </c>
      <c r="AN72" s="13">
        <v>223</v>
      </c>
      <c r="AO72" s="13">
        <v>25</v>
      </c>
      <c r="AP72" s="13">
        <v>43</v>
      </c>
      <c r="AQ72" s="13">
        <v>54</v>
      </c>
      <c r="AR72" s="13">
        <v>17</v>
      </c>
      <c r="AS72" s="13">
        <v>20</v>
      </c>
      <c r="AT72" s="13">
        <v>1</v>
      </c>
      <c r="AU72" s="13">
        <v>3</v>
      </c>
      <c r="AV72" s="13">
        <v>17</v>
      </c>
      <c r="AW72" s="13">
        <v>2</v>
      </c>
      <c r="AX72" s="13">
        <v>1</v>
      </c>
      <c r="AY72" s="13">
        <v>8</v>
      </c>
      <c r="AZ72" s="13">
        <v>46</v>
      </c>
      <c r="BA72" s="13">
        <v>67</v>
      </c>
      <c r="BB72" s="13">
        <v>3</v>
      </c>
      <c r="BC72" s="13" t="s">
        <v>545</v>
      </c>
      <c r="BD72" s="13">
        <v>7</v>
      </c>
      <c r="BE72" s="13" t="s">
        <v>545</v>
      </c>
      <c r="BF72" s="13">
        <v>37</v>
      </c>
      <c r="BG72" s="13">
        <v>70</v>
      </c>
      <c r="BH72" s="13">
        <v>144</v>
      </c>
      <c r="BI72" s="13">
        <v>466</v>
      </c>
      <c r="BJ72" s="13">
        <v>296</v>
      </c>
      <c r="BK72" s="13">
        <v>23</v>
      </c>
      <c r="BL72" s="13">
        <v>52</v>
      </c>
      <c r="BM72" s="13">
        <v>353</v>
      </c>
      <c r="BN72" s="13">
        <v>88</v>
      </c>
      <c r="BO72" s="13">
        <v>24</v>
      </c>
      <c r="BP72" s="13">
        <v>339</v>
      </c>
      <c r="BQ72" s="13" t="s">
        <v>822</v>
      </c>
      <c r="BR72" s="13">
        <v>35</v>
      </c>
      <c r="BS72" s="13">
        <v>355</v>
      </c>
      <c r="BT72" s="13">
        <v>38</v>
      </c>
      <c r="BU72" s="13">
        <v>779</v>
      </c>
      <c r="BV72" s="13">
        <v>47</v>
      </c>
      <c r="BW72" s="13">
        <v>611</v>
      </c>
      <c r="BX72" s="13">
        <v>158</v>
      </c>
      <c r="BY72" s="13">
        <v>84</v>
      </c>
      <c r="BZ72" s="13">
        <v>54</v>
      </c>
      <c r="CA72" s="13" t="s">
        <v>545</v>
      </c>
      <c r="CB72" s="13">
        <v>62</v>
      </c>
      <c r="CC72" s="13">
        <v>149</v>
      </c>
      <c r="CD72" s="13">
        <v>118</v>
      </c>
      <c r="CE72" s="13">
        <v>314</v>
      </c>
      <c r="CF72" s="13">
        <v>136</v>
      </c>
      <c r="CG72" s="13">
        <v>48</v>
      </c>
      <c r="CH72" s="13">
        <v>158</v>
      </c>
      <c r="CI72" s="13">
        <v>230</v>
      </c>
      <c r="CJ72" s="13" t="s">
        <v>545</v>
      </c>
      <c r="CK72" s="13">
        <v>17</v>
      </c>
      <c r="CL72" s="13">
        <v>221</v>
      </c>
      <c r="CM72" s="13">
        <v>134</v>
      </c>
      <c r="CN72" s="13">
        <v>18</v>
      </c>
      <c r="CO72" s="13">
        <v>77</v>
      </c>
      <c r="CP72" s="13">
        <v>201</v>
      </c>
      <c r="CQ72" s="13" t="s">
        <v>823</v>
      </c>
      <c r="CR72" s="13" t="s">
        <v>824</v>
      </c>
      <c r="CS72" s="13" t="s">
        <v>825</v>
      </c>
      <c r="CT72" s="13" t="s">
        <v>826</v>
      </c>
      <c r="CU72" s="13">
        <v>138</v>
      </c>
      <c r="CV72" s="13">
        <v>85</v>
      </c>
      <c r="CW72" s="13">
        <v>53</v>
      </c>
      <c r="CX72" s="13">
        <v>670</v>
      </c>
      <c r="CY72" s="13">
        <v>283</v>
      </c>
      <c r="CZ72" s="13">
        <v>30</v>
      </c>
      <c r="DA72" s="13">
        <v>60</v>
      </c>
      <c r="DB72" s="13" t="s">
        <v>545</v>
      </c>
      <c r="DC72" s="32" t="s">
        <v>827</v>
      </c>
    </row>
    <row r="73" spans="1:107" ht="19">
      <c r="A73" s="9" t="s">
        <v>247</v>
      </c>
      <c r="B73" s="9" t="s">
        <v>248</v>
      </c>
      <c r="C73" s="13" t="s">
        <v>545</v>
      </c>
      <c r="D73" s="13" t="s">
        <v>545</v>
      </c>
      <c r="E73" s="13" t="s">
        <v>545</v>
      </c>
      <c r="F73" s="13" t="s">
        <v>545</v>
      </c>
      <c r="G73" s="13" t="s">
        <v>545</v>
      </c>
      <c r="H73" s="13" t="s">
        <v>545</v>
      </c>
      <c r="I73" s="13" t="s">
        <v>545</v>
      </c>
      <c r="J73" s="13" t="s">
        <v>545</v>
      </c>
      <c r="K73" s="13">
        <v>3</v>
      </c>
      <c r="L73" s="13">
        <v>2</v>
      </c>
      <c r="M73" s="13">
        <v>6</v>
      </c>
      <c r="N73" s="13" t="s">
        <v>545</v>
      </c>
      <c r="O73" s="13" t="s">
        <v>545</v>
      </c>
      <c r="P73" s="13">
        <v>4</v>
      </c>
      <c r="Q73" s="13">
        <v>7</v>
      </c>
      <c r="R73" s="13">
        <v>9</v>
      </c>
      <c r="S73" s="13" t="s">
        <v>545</v>
      </c>
      <c r="T73" s="13">
        <v>2</v>
      </c>
      <c r="U73" s="13">
        <v>21</v>
      </c>
      <c r="V73" s="13">
        <v>1</v>
      </c>
      <c r="W73" s="13" t="s">
        <v>545</v>
      </c>
      <c r="X73" s="13">
        <v>40</v>
      </c>
      <c r="Y73" s="13">
        <v>3</v>
      </c>
      <c r="Z73" s="13" t="s">
        <v>545</v>
      </c>
      <c r="AA73" s="13" t="s">
        <v>545</v>
      </c>
      <c r="AB73" s="13">
        <v>5</v>
      </c>
      <c r="AC73" s="13" t="s">
        <v>545</v>
      </c>
      <c r="AD73" s="13" t="s">
        <v>545</v>
      </c>
      <c r="AE73" s="13" t="s">
        <v>545</v>
      </c>
      <c r="AF73" s="13" t="s">
        <v>545</v>
      </c>
      <c r="AG73" s="13">
        <v>22</v>
      </c>
      <c r="AH73" s="13" t="s">
        <v>545</v>
      </c>
      <c r="AI73" s="13" t="s">
        <v>545</v>
      </c>
      <c r="AJ73" s="13" t="s">
        <v>545</v>
      </c>
      <c r="AK73" s="13">
        <v>18</v>
      </c>
      <c r="AL73" s="13" t="s">
        <v>545</v>
      </c>
      <c r="AM73" s="13">
        <v>9</v>
      </c>
      <c r="AN73" s="13" t="s">
        <v>545</v>
      </c>
      <c r="AO73" s="13">
        <v>54</v>
      </c>
      <c r="AP73" s="13" t="s">
        <v>545</v>
      </c>
      <c r="AQ73" s="13" t="s">
        <v>545</v>
      </c>
      <c r="AR73" s="13" t="s">
        <v>545</v>
      </c>
      <c r="AS73" s="13">
        <v>102</v>
      </c>
      <c r="AT73" s="13" t="s">
        <v>545</v>
      </c>
      <c r="AU73" s="13" t="s">
        <v>545</v>
      </c>
      <c r="AV73" s="13">
        <v>30</v>
      </c>
      <c r="AW73" s="13" t="s">
        <v>545</v>
      </c>
      <c r="AX73" s="13">
        <v>5</v>
      </c>
      <c r="AY73" s="13">
        <v>25</v>
      </c>
      <c r="AZ73" s="13" t="s">
        <v>545</v>
      </c>
      <c r="BA73" s="13" t="s">
        <v>545</v>
      </c>
      <c r="BB73" s="13">
        <v>20</v>
      </c>
      <c r="BC73" s="13" t="s">
        <v>545</v>
      </c>
      <c r="BD73" s="13">
        <v>13</v>
      </c>
      <c r="BE73" s="13" t="s">
        <v>545</v>
      </c>
      <c r="BF73" s="13" t="s">
        <v>545</v>
      </c>
      <c r="BG73" s="13" t="s">
        <v>545</v>
      </c>
      <c r="BH73" s="13" t="s">
        <v>545</v>
      </c>
      <c r="BI73" s="13">
        <v>40</v>
      </c>
      <c r="BJ73" s="13" t="s">
        <v>545</v>
      </c>
      <c r="BK73" s="13" t="s">
        <v>545</v>
      </c>
      <c r="BL73" s="13" t="s">
        <v>545</v>
      </c>
      <c r="BM73" s="13" t="s">
        <v>545</v>
      </c>
      <c r="BN73" s="13">
        <v>11</v>
      </c>
      <c r="BO73" s="13" t="s">
        <v>545</v>
      </c>
      <c r="BP73" s="13" t="s">
        <v>545</v>
      </c>
      <c r="BQ73" s="13" t="s">
        <v>545</v>
      </c>
      <c r="BR73" s="13" t="s">
        <v>828</v>
      </c>
      <c r="BS73" s="13" t="s">
        <v>545</v>
      </c>
      <c r="BT73" s="13" t="s">
        <v>545</v>
      </c>
      <c r="BU73" s="13">
        <v>345</v>
      </c>
      <c r="BV73" s="13" t="s">
        <v>545</v>
      </c>
      <c r="BW73" s="13">
        <v>130</v>
      </c>
      <c r="BX73" s="13">
        <v>49</v>
      </c>
      <c r="BY73" s="13">
        <v>45</v>
      </c>
      <c r="BZ73" s="13" t="s">
        <v>545</v>
      </c>
      <c r="CA73" s="13" t="s">
        <v>545</v>
      </c>
      <c r="CB73" s="13" t="s">
        <v>545</v>
      </c>
      <c r="CC73" s="13" t="s">
        <v>545</v>
      </c>
      <c r="CD73" s="13" t="s">
        <v>545</v>
      </c>
      <c r="CE73" s="13">
        <v>6</v>
      </c>
      <c r="CF73" s="13" t="s">
        <v>545</v>
      </c>
      <c r="CG73" s="13" t="s">
        <v>545</v>
      </c>
      <c r="CH73" s="13" t="s">
        <v>545</v>
      </c>
      <c r="CI73" s="13" t="s">
        <v>545</v>
      </c>
      <c r="CJ73" s="13" t="s">
        <v>545</v>
      </c>
      <c r="CK73" s="13" t="s">
        <v>545</v>
      </c>
      <c r="CL73" s="13" t="s">
        <v>545</v>
      </c>
      <c r="CM73" s="13" t="s">
        <v>545</v>
      </c>
      <c r="CN73" s="13" t="s">
        <v>545</v>
      </c>
      <c r="CO73" s="13" t="s">
        <v>545</v>
      </c>
      <c r="CP73" s="13" t="s">
        <v>545</v>
      </c>
      <c r="CQ73" s="13">
        <v>474</v>
      </c>
      <c r="CR73" s="13">
        <v>867</v>
      </c>
      <c r="CS73" s="13" t="s">
        <v>545</v>
      </c>
      <c r="CT73" s="13">
        <v>308</v>
      </c>
      <c r="CU73" s="13">
        <v>4</v>
      </c>
      <c r="CV73" s="13">
        <v>29</v>
      </c>
      <c r="CW73" s="13" t="s">
        <v>545</v>
      </c>
      <c r="CX73" s="13">
        <v>183</v>
      </c>
      <c r="CY73" s="13">
        <v>254</v>
      </c>
      <c r="CZ73" s="13">
        <v>2</v>
      </c>
      <c r="DA73" s="13" t="s">
        <v>545</v>
      </c>
      <c r="DB73" s="13" t="s">
        <v>545</v>
      </c>
      <c r="DC73" s="32" t="s">
        <v>829</v>
      </c>
    </row>
    <row r="74" spans="1:107" ht="19">
      <c r="A74" s="9" t="s">
        <v>249</v>
      </c>
      <c r="B74" s="9" t="s">
        <v>110</v>
      </c>
      <c r="C74" s="13" t="s">
        <v>545</v>
      </c>
      <c r="D74" s="13" t="s">
        <v>545</v>
      </c>
      <c r="E74" s="13" t="s">
        <v>545</v>
      </c>
      <c r="F74" s="13" t="s">
        <v>545</v>
      </c>
      <c r="G74" s="13" t="s">
        <v>545</v>
      </c>
      <c r="H74" s="13" t="s">
        <v>545</v>
      </c>
      <c r="I74" s="13" t="s">
        <v>545</v>
      </c>
      <c r="J74" s="13" t="s">
        <v>545</v>
      </c>
      <c r="K74" s="13" t="s">
        <v>545</v>
      </c>
      <c r="L74" s="13" t="s">
        <v>545</v>
      </c>
      <c r="M74" s="13" t="s">
        <v>545</v>
      </c>
      <c r="N74" s="13" t="s">
        <v>545</v>
      </c>
      <c r="O74" s="13" t="s">
        <v>545</v>
      </c>
      <c r="P74" s="13" t="s">
        <v>545</v>
      </c>
      <c r="Q74" s="13" t="s">
        <v>545</v>
      </c>
      <c r="R74" s="13" t="s">
        <v>545</v>
      </c>
      <c r="S74" s="13" t="s">
        <v>545</v>
      </c>
      <c r="T74" s="13" t="s">
        <v>545</v>
      </c>
      <c r="U74" s="13" t="s">
        <v>545</v>
      </c>
      <c r="V74" s="13" t="s">
        <v>545</v>
      </c>
      <c r="W74" s="13" t="s">
        <v>545</v>
      </c>
      <c r="X74" s="13" t="s">
        <v>545</v>
      </c>
      <c r="Y74" s="13" t="s">
        <v>545</v>
      </c>
      <c r="Z74" s="13" t="s">
        <v>545</v>
      </c>
      <c r="AA74" s="13" t="s">
        <v>545</v>
      </c>
      <c r="AB74" s="13" t="s">
        <v>545</v>
      </c>
      <c r="AC74" s="13" t="s">
        <v>545</v>
      </c>
      <c r="AD74" s="13" t="s">
        <v>545</v>
      </c>
      <c r="AE74" s="13" t="s">
        <v>545</v>
      </c>
      <c r="AF74" s="13" t="s">
        <v>545</v>
      </c>
      <c r="AG74" s="13" t="s">
        <v>545</v>
      </c>
      <c r="AH74" s="13" t="s">
        <v>545</v>
      </c>
      <c r="AI74" s="13" t="s">
        <v>545</v>
      </c>
      <c r="AJ74" s="13" t="s">
        <v>545</v>
      </c>
      <c r="AK74" s="13" t="s">
        <v>545</v>
      </c>
      <c r="AL74" s="13" t="s">
        <v>545</v>
      </c>
      <c r="AM74" s="13" t="s">
        <v>545</v>
      </c>
      <c r="AN74" s="13" t="s">
        <v>545</v>
      </c>
      <c r="AO74" s="13" t="s">
        <v>545</v>
      </c>
      <c r="AP74" s="13" t="s">
        <v>545</v>
      </c>
      <c r="AQ74" s="13" t="s">
        <v>545</v>
      </c>
      <c r="AR74" s="13" t="s">
        <v>545</v>
      </c>
      <c r="AS74" s="13" t="s">
        <v>545</v>
      </c>
      <c r="AT74" s="13" t="s">
        <v>545</v>
      </c>
      <c r="AU74" s="13" t="s">
        <v>545</v>
      </c>
      <c r="AV74" s="13" t="s">
        <v>545</v>
      </c>
      <c r="AW74" s="13" t="s">
        <v>545</v>
      </c>
      <c r="AX74" s="13" t="s">
        <v>545</v>
      </c>
      <c r="AY74" s="13" t="s">
        <v>545</v>
      </c>
      <c r="AZ74" s="13" t="s">
        <v>545</v>
      </c>
      <c r="BA74" s="13" t="s">
        <v>545</v>
      </c>
      <c r="BB74" s="13" t="s">
        <v>545</v>
      </c>
      <c r="BC74" s="13" t="s">
        <v>545</v>
      </c>
      <c r="BD74" s="13">
        <v>44</v>
      </c>
      <c r="BE74" s="13" t="s">
        <v>545</v>
      </c>
      <c r="BF74" s="13" t="s">
        <v>545</v>
      </c>
      <c r="BG74" s="13" t="s">
        <v>545</v>
      </c>
      <c r="BH74" s="13" t="s">
        <v>545</v>
      </c>
      <c r="BI74" s="13" t="s">
        <v>545</v>
      </c>
      <c r="BJ74" s="13" t="s">
        <v>545</v>
      </c>
      <c r="BK74" s="13" t="s">
        <v>545</v>
      </c>
      <c r="BL74" s="13" t="s">
        <v>545</v>
      </c>
      <c r="BM74" s="13">
        <v>2</v>
      </c>
      <c r="BN74" s="13" t="s">
        <v>545</v>
      </c>
      <c r="BO74" s="13" t="s">
        <v>545</v>
      </c>
      <c r="BP74" s="13">
        <v>29</v>
      </c>
      <c r="BQ74" s="13" t="s">
        <v>545</v>
      </c>
      <c r="BR74" s="13" t="s">
        <v>545</v>
      </c>
      <c r="BS74" s="13" t="s">
        <v>830</v>
      </c>
      <c r="BT74" s="13" t="s">
        <v>545</v>
      </c>
      <c r="BU74" s="13" t="s">
        <v>545</v>
      </c>
      <c r="BV74" s="13" t="s">
        <v>545</v>
      </c>
      <c r="BW74" s="13" t="s">
        <v>545</v>
      </c>
      <c r="BX74" s="13" t="s">
        <v>545</v>
      </c>
      <c r="BY74" s="13">
        <v>2</v>
      </c>
      <c r="BZ74" s="13" t="s">
        <v>545</v>
      </c>
      <c r="CA74" s="13" t="s">
        <v>545</v>
      </c>
      <c r="CB74" s="13" t="s">
        <v>545</v>
      </c>
      <c r="CC74" s="13" t="s">
        <v>545</v>
      </c>
      <c r="CD74" s="13" t="s">
        <v>545</v>
      </c>
      <c r="CE74" s="13" t="s">
        <v>545</v>
      </c>
      <c r="CF74" s="13" t="s">
        <v>545</v>
      </c>
      <c r="CG74" s="13" t="s">
        <v>545</v>
      </c>
      <c r="CH74" s="13">
        <v>137</v>
      </c>
      <c r="CI74" s="13" t="s">
        <v>545</v>
      </c>
      <c r="CJ74" s="13" t="s">
        <v>545</v>
      </c>
      <c r="CK74" s="13" t="s">
        <v>545</v>
      </c>
      <c r="CL74" s="13" t="s">
        <v>545</v>
      </c>
      <c r="CM74" s="13" t="s">
        <v>545</v>
      </c>
      <c r="CN74" s="13" t="s">
        <v>545</v>
      </c>
      <c r="CO74" s="13" t="s">
        <v>545</v>
      </c>
      <c r="CP74" s="13" t="s">
        <v>545</v>
      </c>
      <c r="CQ74" s="13">
        <v>355</v>
      </c>
      <c r="CR74" s="13">
        <v>204</v>
      </c>
      <c r="CS74" s="13">
        <v>52</v>
      </c>
      <c r="CT74" s="13">
        <v>104</v>
      </c>
      <c r="CU74" s="13">
        <v>38</v>
      </c>
      <c r="CV74" s="13">
        <v>60</v>
      </c>
      <c r="CW74" s="13">
        <v>243</v>
      </c>
      <c r="CX74" s="13">
        <v>139</v>
      </c>
      <c r="CY74" s="13">
        <v>354</v>
      </c>
      <c r="CZ74" s="13" t="s">
        <v>545</v>
      </c>
      <c r="DA74" s="13" t="s">
        <v>545</v>
      </c>
      <c r="DB74" s="13" t="s">
        <v>545</v>
      </c>
      <c r="DC74" s="32" t="s">
        <v>831</v>
      </c>
    </row>
    <row r="75" spans="1:107" ht="19">
      <c r="A75" s="9" t="s">
        <v>250</v>
      </c>
      <c r="B75" s="9" t="s">
        <v>251</v>
      </c>
      <c r="C75" s="13">
        <v>217</v>
      </c>
      <c r="D75" s="13">
        <v>6</v>
      </c>
      <c r="E75" s="13">
        <v>4</v>
      </c>
      <c r="F75" s="13" t="s">
        <v>545</v>
      </c>
      <c r="G75" s="13">
        <v>18</v>
      </c>
      <c r="H75" s="13">
        <v>12</v>
      </c>
      <c r="I75" s="13">
        <v>24</v>
      </c>
      <c r="J75" s="13">
        <v>7</v>
      </c>
      <c r="K75" s="13">
        <v>9</v>
      </c>
      <c r="L75" s="13">
        <v>2</v>
      </c>
      <c r="M75" s="13">
        <v>3</v>
      </c>
      <c r="N75" s="13">
        <v>7</v>
      </c>
      <c r="O75" s="13">
        <v>15</v>
      </c>
      <c r="P75" s="13">
        <v>17</v>
      </c>
      <c r="Q75" s="13">
        <v>8</v>
      </c>
      <c r="R75" s="13">
        <v>18</v>
      </c>
      <c r="S75" s="13">
        <v>9</v>
      </c>
      <c r="T75" s="13">
        <v>10</v>
      </c>
      <c r="U75" s="13">
        <v>5</v>
      </c>
      <c r="V75" s="13">
        <v>1</v>
      </c>
      <c r="W75" s="13">
        <v>25</v>
      </c>
      <c r="X75" s="13">
        <v>27</v>
      </c>
      <c r="Y75" s="13">
        <v>75</v>
      </c>
      <c r="Z75" s="13">
        <v>7</v>
      </c>
      <c r="AA75" s="13">
        <v>5</v>
      </c>
      <c r="AB75" s="13">
        <v>5</v>
      </c>
      <c r="AC75" s="13">
        <v>9</v>
      </c>
      <c r="AD75" s="13">
        <v>4</v>
      </c>
      <c r="AE75" s="13">
        <v>5</v>
      </c>
      <c r="AF75" s="13">
        <v>1</v>
      </c>
      <c r="AG75" s="13">
        <v>55</v>
      </c>
      <c r="AH75" s="13">
        <v>41</v>
      </c>
      <c r="AI75" s="13">
        <v>10</v>
      </c>
      <c r="AJ75" s="13">
        <v>12</v>
      </c>
      <c r="AK75" s="13">
        <v>52</v>
      </c>
      <c r="AL75" s="13">
        <v>4</v>
      </c>
      <c r="AM75" s="13">
        <v>86</v>
      </c>
      <c r="AN75" s="13">
        <v>52</v>
      </c>
      <c r="AO75" s="13">
        <v>29</v>
      </c>
      <c r="AP75" s="13">
        <v>64</v>
      </c>
      <c r="AQ75" s="13">
        <v>60</v>
      </c>
      <c r="AR75" s="13">
        <v>5</v>
      </c>
      <c r="AS75" s="13">
        <v>65</v>
      </c>
      <c r="AT75" s="13">
        <v>4</v>
      </c>
      <c r="AU75" s="13">
        <v>28</v>
      </c>
      <c r="AV75" s="13">
        <v>45</v>
      </c>
      <c r="AW75" s="13">
        <v>3</v>
      </c>
      <c r="AX75" s="13">
        <v>5</v>
      </c>
      <c r="AY75" s="13">
        <v>91</v>
      </c>
      <c r="AZ75" s="13">
        <v>153</v>
      </c>
      <c r="BA75" s="13">
        <v>30</v>
      </c>
      <c r="BB75" s="13">
        <v>40</v>
      </c>
      <c r="BC75" s="13">
        <v>19</v>
      </c>
      <c r="BD75" s="13">
        <v>50</v>
      </c>
      <c r="BE75" s="13">
        <v>2</v>
      </c>
      <c r="BF75" s="13" t="s">
        <v>832</v>
      </c>
      <c r="BG75" s="13">
        <v>291</v>
      </c>
      <c r="BH75" s="13">
        <v>857</v>
      </c>
      <c r="BI75" s="13">
        <v>617</v>
      </c>
      <c r="BJ75" s="13">
        <v>42</v>
      </c>
      <c r="BK75" s="13">
        <v>183</v>
      </c>
      <c r="BL75" s="13">
        <v>64</v>
      </c>
      <c r="BM75" s="13">
        <v>47</v>
      </c>
      <c r="BN75" s="13">
        <v>295</v>
      </c>
      <c r="BO75" s="13">
        <v>90</v>
      </c>
      <c r="BP75" s="13">
        <v>150</v>
      </c>
      <c r="BQ75" s="13">
        <v>252</v>
      </c>
      <c r="BR75" s="13">
        <v>65</v>
      </c>
      <c r="BS75" s="13" t="s">
        <v>833</v>
      </c>
      <c r="BT75" s="13" t="s">
        <v>834</v>
      </c>
      <c r="BU75" s="13">
        <v>924</v>
      </c>
      <c r="BV75" s="13">
        <v>281</v>
      </c>
      <c r="BW75" s="13" t="s">
        <v>835</v>
      </c>
      <c r="BX75" s="13">
        <v>639</v>
      </c>
      <c r="BY75" s="13" t="s">
        <v>836</v>
      </c>
      <c r="BZ75" s="13">
        <v>438</v>
      </c>
      <c r="CA75" s="13">
        <v>680</v>
      </c>
      <c r="CB75" s="13">
        <v>158</v>
      </c>
      <c r="CC75" s="13">
        <v>370</v>
      </c>
      <c r="CD75" s="13">
        <v>75</v>
      </c>
      <c r="CE75" s="13">
        <v>637</v>
      </c>
      <c r="CF75" s="13">
        <v>319</v>
      </c>
      <c r="CG75" s="13">
        <v>18</v>
      </c>
      <c r="CH75" s="13">
        <v>153</v>
      </c>
      <c r="CI75" s="13">
        <v>116</v>
      </c>
      <c r="CJ75" s="13">
        <v>36</v>
      </c>
      <c r="CK75" s="13">
        <v>123</v>
      </c>
      <c r="CL75" s="13">
        <v>335</v>
      </c>
      <c r="CM75" s="13">
        <v>186</v>
      </c>
      <c r="CN75" s="13">
        <v>56</v>
      </c>
      <c r="CO75" s="13">
        <v>79</v>
      </c>
      <c r="CP75" s="13">
        <v>322</v>
      </c>
      <c r="CQ75" s="13" t="s">
        <v>552</v>
      </c>
      <c r="CR75" s="13">
        <v>337</v>
      </c>
      <c r="CS75" s="13" t="s">
        <v>837</v>
      </c>
      <c r="CT75" s="13">
        <v>726</v>
      </c>
      <c r="CU75" s="13">
        <v>189</v>
      </c>
      <c r="CV75" s="13">
        <v>25</v>
      </c>
      <c r="CW75" s="13">
        <v>252</v>
      </c>
      <c r="CX75" s="13">
        <v>163</v>
      </c>
      <c r="CY75" s="13">
        <v>127</v>
      </c>
      <c r="CZ75" s="13">
        <v>259</v>
      </c>
      <c r="DA75" s="13">
        <v>139</v>
      </c>
      <c r="DB75" s="13" t="s">
        <v>545</v>
      </c>
      <c r="DC75" s="32" t="s">
        <v>838</v>
      </c>
    </row>
    <row r="76" spans="1:107" ht="19">
      <c r="A76" s="9" t="s">
        <v>252</v>
      </c>
      <c r="B76" s="9" t="s">
        <v>253</v>
      </c>
      <c r="C76" s="13">
        <v>139</v>
      </c>
      <c r="D76" s="13">
        <v>3</v>
      </c>
      <c r="E76" s="13">
        <v>3</v>
      </c>
      <c r="F76" s="13" t="s">
        <v>545</v>
      </c>
      <c r="G76" s="13">
        <v>370</v>
      </c>
      <c r="H76" s="13">
        <v>23</v>
      </c>
      <c r="I76" s="13">
        <v>105</v>
      </c>
      <c r="J76" s="13">
        <v>82</v>
      </c>
      <c r="K76" s="13">
        <v>65</v>
      </c>
      <c r="L76" s="13">
        <v>8</v>
      </c>
      <c r="M76" s="13">
        <v>30</v>
      </c>
      <c r="N76" s="13">
        <v>26</v>
      </c>
      <c r="O76" s="13">
        <v>78</v>
      </c>
      <c r="P76" s="13">
        <v>97</v>
      </c>
      <c r="Q76" s="13">
        <v>65</v>
      </c>
      <c r="R76" s="13">
        <v>199</v>
      </c>
      <c r="S76" s="13">
        <v>60</v>
      </c>
      <c r="T76" s="13">
        <v>28</v>
      </c>
      <c r="U76" s="13">
        <v>12</v>
      </c>
      <c r="V76" s="13">
        <v>11</v>
      </c>
      <c r="W76" s="13">
        <v>35</v>
      </c>
      <c r="X76" s="13">
        <v>62</v>
      </c>
      <c r="Y76" s="13">
        <v>62</v>
      </c>
      <c r="Z76" s="13">
        <v>7</v>
      </c>
      <c r="AA76" s="13">
        <v>36</v>
      </c>
      <c r="AB76" s="13">
        <v>28</v>
      </c>
      <c r="AC76" s="13">
        <v>54</v>
      </c>
      <c r="AD76" s="13">
        <v>31</v>
      </c>
      <c r="AE76" s="13">
        <v>70</v>
      </c>
      <c r="AF76" s="13">
        <v>10</v>
      </c>
      <c r="AG76" s="13">
        <v>592</v>
      </c>
      <c r="AH76" s="13">
        <v>127</v>
      </c>
      <c r="AI76" s="13">
        <v>54</v>
      </c>
      <c r="AJ76" s="13">
        <v>68</v>
      </c>
      <c r="AK76" s="13">
        <v>72</v>
      </c>
      <c r="AL76" s="13">
        <v>46</v>
      </c>
      <c r="AM76" s="13">
        <v>371</v>
      </c>
      <c r="AN76" s="13">
        <v>291</v>
      </c>
      <c r="AO76" s="13">
        <v>96</v>
      </c>
      <c r="AP76" s="13">
        <v>256</v>
      </c>
      <c r="AQ76" s="13">
        <v>915</v>
      </c>
      <c r="AR76" s="13">
        <v>146</v>
      </c>
      <c r="AS76" s="13">
        <v>670</v>
      </c>
      <c r="AT76" s="13">
        <v>40</v>
      </c>
      <c r="AU76" s="13">
        <v>40</v>
      </c>
      <c r="AV76" s="13">
        <v>119</v>
      </c>
      <c r="AW76" s="13">
        <v>8</v>
      </c>
      <c r="AX76" s="13">
        <v>21</v>
      </c>
      <c r="AY76" s="13">
        <v>182</v>
      </c>
      <c r="AZ76" s="13">
        <v>965</v>
      </c>
      <c r="BA76" s="13">
        <v>447</v>
      </c>
      <c r="BB76" s="13">
        <v>110</v>
      </c>
      <c r="BC76" s="13">
        <v>95</v>
      </c>
      <c r="BD76" s="13">
        <v>180</v>
      </c>
      <c r="BE76" s="13">
        <v>7</v>
      </c>
      <c r="BF76" s="13" t="s">
        <v>839</v>
      </c>
      <c r="BG76" s="13" t="s">
        <v>840</v>
      </c>
      <c r="BH76" s="13" t="s">
        <v>841</v>
      </c>
      <c r="BI76" s="13" t="s">
        <v>842</v>
      </c>
      <c r="BJ76" s="13">
        <v>210</v>
      </c>
      <c r="BK76" s="13">
        <v>335</v>
      </c>
      <c r="BL76" s="13">
        <v>121</v>
      </c>
      <c r="BM76" s="13">
        <v>132</v>
      </c>
      <c r="BN76" s="13">
        <v>845</v>
      </c>
      <c r="BO76" s="13">
        <v>344</v>
      </c>
      <c r="BP76" s="13">
        <v>355</v>
      </c>
      <c r="BQ76" s="13">
        <v>628</v>
      </c>
      <c r="BR76" s="13">
        <v>427</v>
      </c>
      <c r="BS76" s="13">
        <v>595</v>
      </c>
      <c r="BT76" s="13" t="s">
        <v>843</v>
      </c>
      <c r="BU76" s="13" t="s">
        <v>844</v>
      </c>
      <c r="BV76" s="13" t="s">
        <v>597</v>
      </c>
      <c r="BW76" s="13" t="s">
        <v>845</v>
      </c>
      <c r="BX76" s="13" t="s">
        <v>846</v>
      </c>
      <c r="BY76" s="13" t="s">
        <v>847</v>
      </c>
      <c r="BZ76" s="13" t="s">
        <v>848</v>
      </c>
      <c r="CA76" s="13" t="s">
        <v>545</v>
      </c>
      <c r="CB76" s="13">
        <v>605</v>
      </c>
      <c r="CC76" s="13" t="s">
        <v>849</v>
      </c>
      <c r="CD76" s="13">
        <v>927</v>
      </c>
      <c r="CE76" s="13" t="s">
        <v>850</v>
      </c>
      <c r="CF76" s="13" t="s">
        <v>851</v>
      </c>
      <c r="CG76" s="13">
        <v>911</v>
      </c>
      <c r="CH76" s="13">
        <v>334</v>
      </c>
      <c r="CI76" s="13">
        <v>618</v>
      </c>
      <c r="CJ76" s="13">
        <v>119</v>
      </c>
      <c r="CK76" s="13">
        <v>408</v>
      </c>
      <c r="CL76" s="13">
        <v>871</v>
      </c>
      <c r="CM76" s="13">
        <v>204</v>
      </c>
      <c r="CN76" s="13">
        <v>24</v>
      </c>
      <c r="CO76" s="13">
        <v>251</v>
      </c>
      <c r="CP76" s="13" t="s">
        <v>852</v>
      </c>
      <c r="CQ76" s="13" t="s">
        <v>853</v>
      </c>
      <c r="CR76" s="13" t="s">
        <v>854</v>
      </c>
      <c r="CS76" s="13" t="s">
        <v>855</v>
      </c>
      <c r="CT76" s="13" t="s">
        <v>856</v>
      </c>
      <c r="CU76" s="13">
        <v>145</v>
      </c>
      <c r="CV76" s="13">
        <v>71</v>
      </c>
      <c r="CW76" s="13">
        <v>237</v>
      </c>
      <c r="CX76" s="13">
        <v>330</v>
      </c>
      <c r="CY76" s="13">
        <v>330</v>
      </c>
      <c r="CZ76" s="13">
        <v>58</v>
      </c>
      <c r="DA76" s="13">
        <v>154</v>
      </c>
      <c r="DB76" s="13" t="s">
        <v>545</v>
      </c>
      <c r="DC76" s="32" t="s">
        <v>857</v>
      </c>
    </row>
    <row r="77" spans="1:107" ht="19">
      <c r="A77" s="9" t="s">
        <v>254</v>
      </c>
      <c r="B77" s="9" t="s">
        <v>255</v>
      </c>
      <c r="C77" s="13" t="s">
        <v>545</v>
      </c>
      <c r="D77" s="13" t="s">
        <v>545</v>
      </c>
      <c r="E77" s="13" t="s">
        <v>545</v>
      </c>
      <c r="F77" s="13" t="s">
        <v>545</v>
      </c>
      <c r="G77" s="13">
        <v>1</v>
      </c>
      <c r="H77" s="13" t="s">
        <v>545</v>
      </c>
      <c r="I77" s="13" t="s">
        <v>545</v>
      </c>
      <c r="J77" s="13" t="s">
        <v>545</v>
      </c>
      <c r="K77" s="13">
        <v>1</v>
      </c>
      <c r="L77" s="13" t="s">
        <v>545</v>
      </c>
      <c r="M77" s="13" t="s">
        <v>545</v>
      </c>
      <c r="N77" s="13" t="s">
        <v>545</v>
      </c>
      <c r="O77" s="13" t="s">
        <v>545</v>
      </c>
      <c r="P77" s="13">
        <v>12</v>
      </c>
      <c r="Q77" s="13" t="s">
        <v>545</v>
      </c>
      <c r="R77" s="13">
        <v>6</v>
      </c>
      <c r="S77" s="13" t="s">
        <v>545</v>
      </c>
      <c r="T77" s="13">
        <v>6</v>
      </c>
      <c r="U77" s="13">
        <v>1</v>
      </c>
      <c r="V77" s="13" t="s">
        <v>545</v>
      </c>
      <c r="W77" s="13" t="s">
        <v>545</v>
      </c>
      <c r="X77" s="13" t="s">
        <v>545</v>
      </c>
      <c r="Y77" s="13">
        <v>18</v>
      </c>
      <c r="Z77" s="13" t="s">
        <v>545</v>
      </c>
      <c r="AA77" s="13" t="s">
        <v>545</v>
      </c>
      <c r="AB77" s="13" t="s">
        <v>545</v>
      </c>
      <c r="AC77" s="13" t="s">
        <v>545</v>
      </c>
      <c r="AD77" s="13" t="s">
        <v>545</v>
      </c>
      <c r="AE77" s="13" t="s">
        <v>545</v>
      </c>
      <c r="AF77" s="13" t="s">
        <v>545</v>
      </c>
      <c r="AG77" s="13">
        <v>13</v>
      </c>
      <c r="AH77" s="13" t="s">
        <v>545</v>
      </c>
      <c r="AI77" s="13">
        <v>2</v>
      </c>
      <c r="AJ77" s="13" t="s">
        <v>545</v>
      </c>
      <c r="AK77" s="13" t="s">
        <v>545</v>
      </c>
      <c r="AL77" s="13" t="s">
        <v>545</v>
      </c>
      <c r="AM77" s="13" t="s">
        <v>545</v>
      </c>
      <c r="AN77" s="13">
        <v>1</v>
      </c>
      <c r="AO77" s="13">
        <v>1</v>
      </c>
      <c r="AP77" s="13">
        <v>2</v>
      </c>
      <c r="AQ77" s="13">
        <v>48</v>
      </c>
      <c r="AR77" s="13">
        <v>1</v>
      </c>
      <c r="AS77" s="13">
        <v>9</v>
      </c>
      <c r="AT77" s="13" t="s">
        <v>545</v>
      </c>
      <c r="AU77" s="13" t="s">
        <v>545</v>
      </c>
      <c r="AV77" s="13" t="s">
        <v>545</v>
      </c>
      <c r="AW77" s="13" t="s">
        <v>545</v>
      </c>
      <c r="AX77" s="13" t="s">
        <v>545</v>
      </c>
      <c r="AY77" s="13">
        <v>5</v>
      </c>
      <c r="AZ77" s="13">
        <v>1</v>
      </c>
      <c r="BA77" s="13">
        <v>310</v>
      </c>
      <c r="BB77" s="13">
        <v>7</v>
      </c>
      <c r="BC77" s="13" t="s">
        <v>545</v>
      </c>
      <c r="BD77" s="13" t="s">
        <v>545</v>
      </c>
      <c r="BE77" s="13" t="s">
        <v>545</v>
      </c>
      <c r="BF77" s="13">
        <v>32</v>
      </c>
      <c r="BG77" s="13">
        <v>450</v>
      </c>
      <c r="BH77" s="13">
        <v>750</v>
      </c>
      <c r="BI77" s="13" t="s">
        <v>858</v>
      </c>
      <c r="BJ77" s="13">
        <v>8</v>
      </c>
      <c r="BK77" s="13">
        <v>20</v>
      </c>
      <c r="BL77" s="13" t="s">
        <v>545</v>
      </c>
      <c r="BM77" s="13">
        <v>23</v>
      </c>
      <c r="BN77" s="13">
        <v>110</v>
      </c>
      <c r="BO77" s="13">
        <v>116</v>
      </c>
      <c r="BP77" s="13">
        <v>1</v>
      </c>
      <c r="BQ77" s="13">
        <v>13</v>
      </c>
      <c r="BR77" s="13">
        <v>125</v>
      </c>
      <c r="BS77" s="13">
        <v>84</v>
      </c>
      <c r="BT77" s="13" t="s">
        <v>859</v>
      </c>
      <c r="BU77" s="13" t="s">
        <v>860</v>
      </c>
      <c r="BV77" s="13">
        <v>629</v>
      </c>
      <c r="BW77" s="13" t="s">
        <v>861</v>
      </c>
      <c r="BX77" s="13">
        <v>287</v>
      </c>
      <c r="BY77" s="13">
        <v>386</v>
      </c>
      <c r="BZ77" s="13">
        <v>6</v>
      </c>
      <c r="CA77" s="13" t="s">
        <v>545</v>
      </c>
      <c r="CB77" s="13">
        <v>130</v>
      </c>
      <c r="CC77" s="13">
        <v>11</v>
      </c>
      <c r="CD77" s="13">
        <v>219</v>
      </c>
      <c r="CE77" s="13">
        <v>429</v>
      </c>
      <c r="CF77" s="13">
        <v>94</v>
      </c>
      <c r="CG77" s="13">
        <v>89</v>
      </c>
      <c r="CH77" s="13">
        <v>155</v>
      </c>
      <c r="CI77" s="13">
        <v>161</v>
      </c>
      <c r="CJ77" s="13" t="s">
        <v>545</v>
      </c>
      <c r="CK77" s="13">
        <v>130</v>
      </c>
      <c r="CL77" s="13">
        <v>7</v>
      </c>
      <c r="CM77" s="13">
        <v>20</v>
      </c>
      <c r="CN77" s="13">
        <v>28</v>
      </c>
      <c r="CO77" s="13" t="s">
        <v>545</v>
      </c>
      <c r="CP77" s="13">
        <v>561</v>
      </c>
      <c r="CQ77" s="13" t="s">
        <v>545</v>
      </c>
      <c r="CR77" s="13">
        <v>5</v>
      </c>
      <c r="CS77" s="13" t="s">
        <v>545</v>
      </c>
      <c r="CT77" s="13" t="s">
        <v>545</v>
      </c>
      <c r="CU77" s="13">
        <v>47</v>
      </c>
      <c r="CV77" s="13" t="s">
        <v>545</v>
      </c>
      <c r="CW77" s="13">
        <v>169</v>
      </c>
      <c r="CX77" s="13">
        <v>3</v>
      </c>
      <c r="CY77" s="13">
        <v>25</v>
      </c>
      <c r="CZ77" s="13">
        <v>16</v>
      </c>
      <c r="DA77" s="13">
        <v>100</v>
      </c>
      <c r="DB77" s="13" t="s">
        <v>545</v>
      </c>
      <c r="DC77" s="32" t="s">
        <v>862</v>
      </c>
    </row>
    <row r="78" spans="1:107" ht="19">
      <c r="A78" s="9" t="s">
        <v>256</v>
      </c>
      <c r="B78" s="9" t="s">
        <v>257</v>
      </c>
      <c r="C78" s="13" t="s">
        <v>863</v>
      </c>
      <c r="D78" s="13">
        <v>32</v>
      </c>
      <c r="E78" s="13">
        <v>42</v>
      </c>
      <c r="F78" s="13">
        <v>24</v>
      </c>
      <c r="G78" s="13" t="s">
        <v>864</v>
      </c>
      <c r="H78" s="13">
        <v>435</v>
      </c>
      <c r="I78" s="13">
        <v>297</v>
      </c>
      <c r="J78" s="13">
        <v>179</v>
      </c>
      <c r="K78" s="13">
        <v>280</v>
      </c>
      <c r="L78" s="13">
        <v>30</v>
      </c>
      <c r="M78" s="13">
        <v>215</v>
      </c>
      <c r="N78" s="13">
        <v>214</v>
      </c>
      <c r="O78" s="13">
        <v>354</v>
      </c>
      <c r="P78" s="13">
        <v>999</v>
      </c>
      <c r="Q78" s="13">
        <v>117</v>
      </c>
      <c r="R78" s="13">
        <v>593</v>
      </c>
      <c r="S78" s="13">
        <v>56</v>
      </c>
      <c r="T78" s="13">
        <v>167</v>
      </c>
      <c r="U78" s="13">
        <v>239</v>
      </c>
      <c r="V78" s="13">
        <v>33</v>
      </c>
      <c r="W78" s="13">
        <v>234</v>
      </c>
      <c r="X78" s="13">
        <v>305</v>
      </c>
      <c r="Y78" s="13">
        <v>150</v>
      </c>
      <c r="Z78" s="13">
        <v>608</v>
      </c>
      <c r="AA78" s="13">
        <v>111</v>
      </c>
      <c r="AB78" s="13">
        <v>123</v>
      </c>
      <c r="AC78" s="13">
        <v>340</v>
      </c>
      <c r="AD78" s="13">
        <v>163</v>
      </c>
      <c r="AE78" s="13">
        <v>486</v>
      </c>
      <c r="AF78" s="13">
        <v>92</v>
      </c>
      <c r="AG78" s="13" t="s">
        <v>865</v>
      </c>
      <c r="AH78" s="13">
        <v>698</v>
      </c>
      <c r="AI78" s="13">
        <v>324</v>
      </c>
      <c r="AJ78" s="13">
        <v>430</v>
      </c>
      <c r="AK78" s="13">
        <v>174</v>
      </c>
      <c r="AL78" s="13">
        <v>219</v>
      </c>
      <c r="AM78" s="13" t="s">
        <v>866</v>
      </c>
      <c r="AN78" s="13">
        <v>178</v>
      </c>
      <c r="AO78" s="13">
        <v>419</v>
      </c>
      <c r="AP78" s="13">
        <v>592</v>
      </c>
      <c r="AQ78" s="13" t="s">
        <v>867</v>
      </c>
      <c r="AR78" s="13">
        <v>105</v>
      </c>
      <c r="AS78" s="13" t="s">
        <v>868</v>
      </c>
      <c r="AT78" s="13">
        <v>252</v>
      </c>
      <c r="AU78" s="13">
        <v>228</v>
      </c>
      <c r="AV78" s="13">
        <v>355</v>
      </c>
      <c r="AW78" s="13">
        <v>31</v>
      </c>
      <c r="AX78" s="13">
        <v>100</v>
      </c>
      <c r="AY78" s="13">
        <v>247</v>
      </c>
      <c r="AZ78" s="13" t="s">
        <v>595</v>
      </c>
      <c r="BA78" s="13">
        <v>381</v>
      </c>
      <c r="BB78" s="13">
        <v>289</v>
      </c>
      <c r="BC78" s="13">
        <v>78</v>
      </c>
      <c r="BD78" s="13">
        <v>640</v>
      </c>
      <c r="BE78" s="13">
        <v>8</v>
      </c>
      <c r="BF78" s="13" t="s">
        <v>869</v>
      </c>
      <c r="BG78" s="13" t="s">
        <v>665</v>
      </c>
      <c r="BH78" s="13" t="s">
        <v>870</v>
      </c>
      <c r="BI78" s="13" t="s">
        <v>871</v>
      </c>
      <c r="BJ78" s="13">
        <v>149</v>
      </c>
      <c r="BK78" s="13">
        <v>955</v>
      </c>
      <c r="BL78" s="13">
        <v>267</v>
      </c>
      <c r="BM78" s="13">
        <v>385</v>
      </c>
      <c r="BN78" s="13" t="s">
        <v>872</v>
      </c>
      <c r="BO78" s="13">
        <v>601</v>
      </c>
      <c r="BP78" s="13">
        <v>551</v>
      </c>
      <c r="BQ78" s="13" t="s">
        <v>873</v>
      </c>
      <c r="BR78" s="13">
        <v>161</v>
      </c>
      <c r="BS78" s="13">
        <v>349</v>
      </c>
      <c r="BT78" s="13">
        <v>855</v>
      </c>
      <c r="BU78" s="13">
        <v>942</v>
      </c>
      <c r="BV78" s="13">
        <v>133</v>
      </c>
      <c r="BW78" s="13" t="s">
        <v>874</v>
      </c>
      <c r="BX78" s="13" t="s">
        <v>875</v>
      </c>
      <c r="BY78" s="13">
        <v>409</v>
      </c>
      <c r="BZ78" s="13" t="s">
        <v>876</v>
      </c>
      <c r="CA78" s="13" t="s">
        <v>877</v>
      </c>
      <c r="CB78" s="13" t="s">
        <v>878</v>
      </c>
      <c r="CC78" s="13">
        <v>662</v>
      </c>
      <c r="CD78" s="13">
        <v>613</v>
      </c>
      <c r="CE78" s="13" t="s">
        <v>879</v>
      </c>
      <c r="CF78" s="13" t="s">
        <v>780</v>
      </c>
      <c r="CG78" s="13">
        <v>339</v>
      </c>
      <c r="CH78" s="13">
        <v>715</v>
      </c>
      <c r="CI78" s="13">
        <v>550</v>
      </c>
      <c r="CJ78" s="13">
        <v>96</v>
      </c>
      <c r="CK78" s="13">
        <v>796</v>
      </c>
      <c r="CL78" s="13" t="s">
        <v>880</v>
      </c>
      <c r="CM78" s="13">
        <v>454</v>
      </c>
      <c r="CN78" s="13">
        <v>80</v>
      </c>
      <c r="CO78" s="13">
        <v>471</v>
      </c>
      <c r="CP78" s="13">
        <v>629</v>
      </c>
      <c r="CQ78" s="13" t="s">
        <v>881</v>
      </c>
      <c r="CR78" s="13" t="s">
        <v>882</v>
      </c>
      <c r="CS78" s="13">
        <v>911</v>
      </c>
      <c r="CT78" s="13">
        <v>805</v>
      </c>
      <c r="CU78" s="13">
        <v>325</v>
      </c>
      <c r="CV78" s="13">
        <v>8</v>
      </c>
      <c r="CW78" s="13">
        <v>173</v>
      </c>
      <c r="CX78" s="13">
        <v>175</v>
      </c>
      <c r="CY78" s="13">
        <v>317</v>
      </c>
      <c r="CZ78" s="13">
        <v>69</v>
      </c>
      <c r="DA78" s="13">
        <v>632</v>
      </c>
      <c r="DB78" s="13" t="s">
        <v>545</v>
      </c>
      <c r="DC78" s="32" t="s">
        <v>883</v>
      </c>
    </row>
    <row r="79" spans="1:107" ht="19">
      <c r="A79" s="9" t="s">
        <v>258</v>
      </c>
      <c r="B79" s="33" t="s">
        <v>111</v>
      </c>
      <c r="C79" s="13">
        <v>243</v>
      </c>
      <c r="D79" s="13">
        <v>11</v>
      </c>
      <c r="E79" s="13">
        <v>12</v>
      </c>
      <c r="F79" s="13">
        <v>1</v>
      </c>
      <c r="G79" s="13">
        <v>124</v>
      </c>
      <c r="H79" s="13">
        <v>47</v>
      </c>
      <c r="I79" s="13">
        <v>25</v>
      </c>
      <c r="J79" s="13">
        <v>197</v>
      </c>
      <c r="K79" s="13">
        <v>74</v>
      </c>
      <c r="L79" s="13">
        <v>14</v>
      </c>
      <c r="M79" s="13">
        <v>97</v>
      </c>
      <c r="N79" s="13">
        <v>50</v>
      </c>
      <c r="O79" s="13">
        <v>87</v>
      </c>
      <c r="P79" s="13">
        <v>148</v>
      </c>
      <c r="Q79" s="13">
        <v>86</v>
      </c>
      <c r="R79" s="13">
        <v>95</v>
      </c>
      <c r="S79" s="13">
        <v>44</v>
      </c>
      <c r="T79" s="13">
        <v>48</v>
      </c>
      <c r="U79" s="13">
        <v>11</v>
      </c>
      <c r="V79" s="13">
        <v>4</v>
      </c>
      <c r="W79" s="13">
        <v>71</v>
      </c>
      <c r="X79" s="13">
        <v>95</v>
      </c>
      <c r="Y79" s="13">
        <v>51</v>
      </c>
      <c r="Z79" s="13">
        <v>352</v>
      </c>
      <c r="AA79" s="13">
        <v>24</v>
      </c>
      <c r="AB79" s="13">
        <v>40</v>
      </c>
      <c r="AC79" s="13">
        <v>45</v>
      </c>
      <c r="AD79" s="13">
        <v>39</v>
      </c>
      <c r="AE79" s="13">
        <v>59</v>
      </c>
      <c r="AF79" s="13">
        <v>19</v>
      </c>
      <c r="AG79" s="13">
        <v>178</v>
      </c>
      <c r="AH79" s="13">
        <v>144</v>
      </c>
      <c r="AI79" s="13">
        <v>52</v>
      </c>
      <c r="AJ79" s="13">
        <v>54</v>
      </c>
      <c r="AK79" s="13">
        <v>105</v>
      </c>
      <c r="AL79" s="13">
        <v>36</v>
      </c>
      <c r="AM79" s="13">
        <v>238</v>
      </c>
      <c r="AN79" s="13">
        <v>119</v>
      </c>
      <c r="AO79" s="13">
        <v>102</v>
      </c>
      <c r="AP79" s="13">
        <v>255</v>
      </c>
      <c r="AQ79" s="13">
        <v>603</v>
      </c>
      <c r="AR79" s="13">
        <v>39</v>
      </c>
      <c r="AS79" s="13">
        <v>233</v>
      </c>
      <c r="AT79" s="13">
        <v>19</v>
      </c>
      <c r="AU79" s="13">
        <v>54</v>
      </c>
      <c r="AV79" s="13">
        <v>80</v>
      </c>
      <c r="AW79" s="13">
        <v>8</v>
      </c>
      <c r="AX79" s="13">
        <v>25</v>
      </c>
      <c r="AY79" s="13">
        <v>73</v>
      </c>
      <c r="AZ79" s="13">
        <v>411</v>
      </c>
      <c r="BA79" s="13">
        <v>85</v>
      </c>
      <c r="BB79" s="13">
        <v>52</v>
      </c>
      <c r="BC79" s="13">
        <v>17</v>
      </c>
      <c r="BD79" s="13">
        <v>190</v>
      </c>
      <c r="BE79" s="13">
        <v>7</v>
      </c>
      <c r="BF79" s="13" t="s">
        <v>884</v>
      </c>
      <c r="BG79" s="13">
        <v>402</v>
      </c>
      <c r="BH79" s="13">
        <v>998</v>
      </c>
      <c r="BI79" s="13">
        <v>834</v>
      </c>
      <c r="BJ79" s="13">
        <v>113</v>
      </c>
      <c r="BK79" s="13">
        <v>385</v>
      </c>
      <c r="BL79" s="13">
        <v>106</v>
      </c>
      <c r="BM79" s="13">
        <v>338</v>
      </c>
      <c r="BN79" s="13">
        <v>351</v>
      </c>
      <c r="BO79" s="13">
        <v>111</v>
      </c>
      <c r="BP79" s="13">
        <v>163</v>
      </c>
      <c r="BQ79" s="13">
        <v>497</v>
      </c>
      <c r="BR79" s="13">
        <v>89</v>
      </c>
      <c r="BS79" s="13">
        <v>417</v>
      </c>
      <c r="BT79" s="13">
        <v>237</v>
      </c>
      <c r="BU79" s="13">
        <v>550</v>
      </c>
      <c r="BV79" s="13">
        <v>105</v>
      </c>
      <c r="BW79" s="13">
        <v>224</v>
      </c>
      <c r="BX79" s="13" t="s">
        <v>885</v>
      </c>
      <c r="BY79" s="13">
        <v>16</v>
      </c>
      <c r="BZ79" s="13">
        <v>185</v>
      </c>
      <c r="CA79" s="13" t="s">
        <v>886</v>
      </c>
      <c r="CB79" s="13">
        <v>96</v>
      </c>
      <c r="CC79" s="13">
        <v>99</v>
      </c>
      <c r="CD79" s="13">
        <v>82</v>
      </c>
      <c r="CE79" s="13">
        <v>403</v>
      </c>
      <c r="CF79" s="13">
        <v>352</v>
      </c>
      <c r="CG79" s="13">
        <v>202</v>
      </c>
      <c r="CH79" s="13">
        <v>173</v>
      </c>
      <c r="CI79" s="13">
        <v>147</v>
      </c>
      <c r="CJ79" s="13">
        <v>18</v>
      </c>
      <c r="CK79" s="13">
        <v>169</v>
      </c>
      <c r="CL79" s="13">
        <v>312</v>
      </c>
      <c r="CM79" s="13">
        <v>254</v>
      </c>
      <c r="CN79" s="13">
        <v>33</v>
      </c>
      <c r="CO79" s="13">
        <v>147</v>
      </c>
      <c r="CP79" s="13">
        <v>288</v>
      </c>
      <c r="CQ79" s="13">
        <v>87</v>
      </c>
      <c r="CR79" s="13">
        <v>300</v>
      </c>
      <c r="CS79" s="13">
        <v>141</v>
      </c>
      <c r="CT79" s="13">
        <v>172</v>
      </c>
      <c r="CU79" s="13">
        <v>68</v>
      </c>
      <c r="CV79" s="13">
        <v>12</v>
      </c>
      <c r="CW79" s="13">
        <v>28</v>
      </c>
      <c r="CX79" s="13">
        <v>123</v>
      </c>
      <c r="CY79" s="13">
        <v>71</v>
      </c>
      <c r="CZ79" s="13">
        <v>26</v>
      </c>
      <c r="DA79" s="13">
        <v>75</v>
      </c>
      <c r="DB79" s="13" t="s">
        <v>545</v>
      </c>
      <c r="DC79" s="32" t="s">
        <v>887</v>
      </c>
    </row>
    <row r="80" spans="1:107" ht="19">
      <c r="A80" s="14" t="s">
        <v>259</v>
      </c>
      <c r="B80" s="14" t="s">
        <v>260</v>
      </c>
      <c r="C80" s="15" t="s">
        <v>545</v>
      </c>
      <c r="D80" s="15" t="s">
        <v>545</v>
      </c>
      <c r="E80" s="15" t="s">
        <v>545</v>
      </c>
      <c r="F80" s="15">
        <v>2</v>
      </c>
      <c r="G80" s="15" t="s">
        <v>545</v>
      </c>
      <c r="H80" s="15">
        <v>10</v>
      </c>
      <c r="I80" s="15" t="s">
        <v>545</v>
      </c>
      <c r="J80" s="15">
        <v>20</v>
      </c>
      <c r="K80" s="15" t="s">
        <v>545</v>
      </c>
      <c r="L80" s="15" t="s">
        <v>545</v>
      </c>
      <c r="M80" s="15">
        <v>8</v>
      </c>
      <c r="N80" s="15">
        <v>5</v>
      </c>
      <c r="O80" s="15" t="s">
        <v>545</v>
      </c>
      <c r="P80" s="15">
        <v>8</v>
      </c>
      <c r="Q80" s="15" t="s">
        <v>545</v>
      </c>
      <c r="R80" s="15">
        <v>27</v>
      </c>
      <c r="S80" s="15" t="s">
        <v>545</v>
      </c>
      <c r="T80" s="15">
        <v>1</v>
      </c>
      <c r="U80" s="15">
        <v>3</v>
      </c>
      <c r="V80" s="15" t="s">
        <v>545</v>
      </c>
      <c r="W80" s="15" t="s">
        <v>545</v>
      </c>
      <c r="X80" s="15">
        <v>5</v>
      </c>
      <c r="Y80" s="15">
        <v>6</v>
      </c>
      <c r="Z80" s="15">
        <v>60</v>
      </c>
      <c r="AA80" s="15">
        <v>2</v>
      </c>
      <c r="AB80" s="15">
        <v>40</v>
      </c>
      <c r="AC80" s="15">
        <v>39</v>
      </c>
      <c r="AD80" s="15">
        <v>21</v>
      </c>
      <c r="AE80" s="15">
        <v>89</v>
      </c>
      <c r="AF80" s="15" t="s">
        <v>545</v>
      </c>
      <c r="AG80" s="15">
        <v>8</v>
      </c>
      <c r="AH80" s="15">
        <v>7</v>
      </c>
      <c r="AI80" s="15">
        <v>10</v>
      </c>
      <c r="AJ80" s="15">
        <v>16</v>
      </c>
      <c r="AK80" s="15">
        <v>35</v>
      </c>
      <c r="AL80" s="15">
        <v>5</v>
      </c>
      <c r="AM80" s="15">
        <v>47</v>
      </c>
      <c r="AN80" s="15">
        <v>27</v>
      </c>
      <c r="AO80" s="15">
        <v>39</v>
      </c>
      <c r="AP80" s="15">
        <v>26</v>
      </c>
      <c r="AQ80" s="15">
        <v>102</v>
      </c>
      <c r="AR80" s="15" t="s">
        <v>545</v>
      </c>
      <c r="AS80" s="15">
        <v>45</v>
      </c>
      <c r="AT80" s="15">
        <v>17</v>
      </c>
      <c r="AU80" s="15">
        <v>2</v>
      </c>
      <c r="AV80" s="15">
        <v>11</v>
      </c>
      <c r="AW80" s="15" t="s">
        <v>545</v>
      </c>
      <c r="AX80" s="15">
        <v>2</v>
      </c>
      <c r="AY80" s="15">
        <v>6</v>
      </c>
      <c r="AZ80" s="15">
        <v>1</v>
      </c>
      <c r="BA80" s="15">
        <v>9</v>
      </c>
      <c r="BB80" s="15">
        <v>9</v>
      </c>
      <c r="BC80" s="15">
        <v>17</v>
      </c>
      <c r="BD80" s="15">
        <v>145</v>
      </c>
      <c r="BE80" s="15" t="s">
        <v>545</v>
      </c>
      <c r="BF80" s="15">
        <v>934</v>
      </c>
      <c r="BG80" s="15">
        <v>91</v>
      </c>
      <c r="BH80" s="15" t="s">
        <v>888</v>
      </c>
      <c r="BI80" s="15">
        <v>590</v>
      </c>
      <c r="BJ80" s="15">
        <v>6</v>
      </c>
      <c r="BK80" s="15">
        <v>20</v>
      </c>
      <c r="BL80" s="15">
        <v>494</v>
      </c>
      <c r="BM80" s="15">
        <v>440</v>
      </c>
      <c r="BN80" s="15">
        <v>132</v>
      </c>
      <c r="BO80" s="15">
        <v>67</v>
      </c>
      <c r="BP80" s="15">
        <v>26</v>
      </c>
      <c r="BQ80" s="15">
        <v>115</v>
      </c>
      <c r="BR80" s="15">
        <v>70</v>
      </c>
      <c r="BS80" s="15">
        <v>24</v>
      </c>
      <c r="BT80" s="15">
        <v>283</v>
      </c>
      <c r="BU80" s="15" t="s">
        <v>889</v>
      </c>
      <c r="BV80" s="15">
        <v>153</v>
      </c>
      <c r="BW80" s="15" t="s">
        <v>890</v>
      </c>
      <c r="BX80" s="15" t="s">
        <v>891</v>
      </c>
      <c r="BY80" s="15" t="s">
        <v>892</v>
      </c>
      <c r="BZ80" s="15">
        <v>109</v>
      </c>
      <c r="CA80" s="15" t="s">
        <v>545</v>
      </c>
      <c r="CB80" s="15">
        <v>370</v>
      </c>
      <c r="CC80" s="15">
        <v>375</v>
      </c>
      <c r="CD80" s="15">
        <v>91</v>
      </c>
      <c r="CE80" s="15" t="s">
        <v>893</v>
      </c>
      <c r="CF80" s="15" t="s">
        <v>894</v>
      </c>
      <c r="CG80" s="15">
        <v>124</v>
      </c>
      <c r="CH80" s="15">
        <v>58</v>
      </c>
      <c r="CI80" s="15">
        <v>162</v>
      </c>
      <c r="CJ80" s="15" t="s">
        <v>545</v>
      </c>
      <c r="CK80" s="15">
        <v>287</v>
      </c>
      <c r="CL80" s="15">
        <v>312</v>
      </c>
      <c r="CM80" s="15">
        <v>10</v>
      </c>
      <c r="CN80" s="15">
        <v>31</v>
      </c>
      <c r="CO80" s="15">
        <v>150</v>
      </c>
      <c r="CP80" s="15" t="s">
        <v>895</v>
      </c>
      <c r="CQ80" s="15">
        <v>40</v>
      </c>
      <c r="CR80" s="15">
        <v>37</v>
      </c>
      <c r="CS80" s="15">
        <v>3</v>
      </c>
      <c r="CT80" s="15" t="s">
        <v>545</v>
      </c>
      <c r="CU80" s="15">
        <v>13</v>
      </c>
      <c r="CV80" s="15" t="s">
        <v>545</v>
      </c>
      <c r="CW80" s="15">
        <v>32</v>
      </c>
      <c r="CX80" s="15">
        <v>10</v>
      </c>
      <c r="CY80" s="15" t="s">
        <v>545</v>
      </c>
      <c r="CZ80" s="15">
        <v>30</v>
      </c>
      <c r="DA80" s="15">
        <v>40</v>
      </c>
      <c r="DB80" s="15" t="s">
        <v>545</v>
      </c>
      <c r="DC80" s="34" t="s">
        <v>896</v>
      </c>
    </row>
    <row r="81" spans="1:107" ht="19">
      <c r="A81" s="9" t="s">
        <v>261</v>
      </c>
      <c r="B81" s="9" t="s">
        <v>262</v>
      </c>
      <c r="C81" s="13" t="s">
        <v>545</v>
      </c>
      <c r="D81" s="13" t="s">
        <v>545</v>
      </c>
      <c r="E81" s="13" t="s">
        <v>545</v>
      </c>
      <c r="F81" s="13" t="s">
        <v>545</v>
      </c>
      <c r="G81" s="13" t="s">
        <v>545</v>
      </c>
      <c r="H81" s="13" t="s">
        <v>545</v>
      </c>
      <c r="I81" s="13" t="s">
        <v>545</v>
      </c>
      <c r="J81" s="13">
        <v>2</v>
      </c>
      <c r="K81" s="13">
        <v>1</v>
      </c>
      <c r="L81" s="13" t="s">
        <v>545</v>
      </c>
      <c r="M81" s="13">
        <v>1</v>
      </c>
      <c r="N81" s="13" t="s">
        <v>545</v>
      </c>
      <c r="O81" s="13" t="s">
        <v>545</v>
      </c>
      <c r="P81" s="13" t="s">
        <v>545</v>
      </c>
      <c r="Q81" s="13" t="s">
        <v>545</v>
      </c>
      <c r="R81" s="13" t="s">
        <v>545</v>
      </c>
      <c r="S81" s="13" t="s">
        <v>545</v>
      </c>
      <c r="T81" s="13">
        <v>14</v>
      </c>
      <c r="U81" s="13" t="s">
        <v>545</v>
      </c>
      <c r="V81" s="13">
        <v>3</v>
      </c>
      <c r="W81" s="13" t="s">
        <v>545</v>
      </c>
      <c r="X81" s="13">
        <v>164</v>
      </c>
      <c r="Y81" s="13">
        <v>78</v>
      </c>
      <c r="Z81" s="13" t="s">
        <v>545</v>
      </c>
      <c r="AA81" s="13" t="s">
        <v>545</v>
      </c>
      <c r="AB81" s="13" t="s">
        <v>545</v>
      </c>
      <c r="AC81" s="13">
        <v>10</v>
      </c>
      <c r="AD81" s="13" t="s">
        <v>545</v>
      </c>
      <c r="AE81" s="13">
        <v>25</v>
      </c>
      <c r="AF81" s="13" t="s">
        <v>545</v>
      </c>
      <c r="AG81" s="13">
        <v>23</v>
      </c>
      <c r="AH81" s="13">
        <v>266</v>
      </c>
      <c r="AI81" s="13" t="s">
        <v>545</v>
      </c>
      <c r="AJ81" s="13" t="s">
        <v>545</v>
      </c>
      <c r="AK81" s="13">
        <v>10</v>
      </c>
      <c r="AL81" s="13">
        <v>6</v>
      </c>
      <c r="AM81" s="13">
        <v>243</v>
      </c>
      <c r="AN81" s="13" t="s">
        <v>545</v>
      </c>
      <c r="AO81" s="13">
        <v>30</v>
      </c>
      <c r="AP81" s="13" t="s">
        <v>545</v>
      </c>
      <c r="AQ81" s="13" t="s">
        <v>545</v>
      </c>
      <c r="AR81" s="13" t="s">
        <v>545</v>
      </c>
      <c r="AS81" s="13" t="s">
        <v>545</v>
      </c>
      <c r="AT81" s="13" t="s">
        <v>545</v>
      </c>
      <c r="AU81" s="13">
        <v>82</v>
      </c>
      <c r="AV81" s="13" t="s">
        <v>545</v>
      </c>
      <c r="AW81" s="13" t="s">
        <v>545</v>
      </c>
      <c r="AX81" s="13" t="s">
        <v>545</v>
      </c>
      <c r="AY81" s="13">
        <v>5</v>
      </c>
      <c r="AZ81" s="13">
        <v>163</v>
      </c>
      <c r="BA81" s="13">
        <v>96</v>
      </c>
      <c r="BB81" s="13">
        <v>14</v>
      </c>
      <c r="BC81" s="13">
        <v>5</v>
      </c>
      <c r="BD81" s="13">
        <v>288</v>
      </c>
      <c r="BE81" s="13">
        <v>35</v>
      </c>
      <c r="BF81" s="13">
        <v>313</v>
      </c>
      <c r="BG81" s="13">
        <v>930</v>
      </c>
      <c r="BH81" s="13" t="s">
        <v>897</v>
      </c>
      <c r="BI81" s="13" t="s">
        <v>898</v>
      </c>
      <c r="BJ81" s="13" t="s">
        <v>545</v>
      </c>
      <c r="BK81" s="13">
        <v>380</v>
      </c>
      <c r="BL81" s="13">
        <v>61</v>
      </c>
      <c r="BM81" s="13">
        <v>617</v>
      </c>
      <c r="BN81" s="13" t="s">
        <v>676</v>
      </c>
      <c r="BO81" s="13">
        <v>38</v>
      </c>
      <c r="BP81" s="13">
        <v>983</v>
      </c>
      <c r="BQ81" s="13" t="s">
        <v>899</v>
      </c>
      <c r="BR81" s="13">
        <v>275</v>
      </c>
      <c r="BS81" s="13" t="s">
        <v>611</v>
      </c>
      <c r="BT81" s="13" t="s">
        <v>900</v>
      </c>
      <c r="BU81" s="13" t="s">
        <v>901</v>
      </c>
      <c r="BV81" s="13" t="s">
        <v>545</v>
      </c>
      <c r="BW81" s="13" t="s">
        <v>902</v>
      </c>
      <c r="BX81" s="13">
        <v>555</v>
      </c>
      <c r="BY81" s="13">
        <v>121</v>
      </c>
      <c r="BZ81" s="13" t="s">
        <v>903</v>
      </c>
      <c r="CA81" s="13">
        <v>109</v>
      </c>
      <c r="CB81" s="13">
        <v>318</v>
      </c>
      <c r="CC81" s="13" t="s">
        <v>904</v>
      </c>
      <c r="CD81" s="13">
        <v>236</v>
      </c>
      <c r="CE81" s="13">
        <v>250</v>
      </c>
      <c r="CF81" s="13" t="s">
        <v>695</v>
      </c>
      <c r="CG81" s="13">
        <v>536</v>
      </c>
      <c r="CH81" s="13" t="s">
        <v>905</v>
      </c>
      <c r="CI81" s="13">
        <v>405</v>
      </c>
      <c r="CJ81" s="13">
        <v>73</v>
      </c>
      <c r="CK81" s="13">
        <v>248</v>
      </c>
      <c r="CL81" s="13">
        <v>602</v>
      </c>
      <c r="CM81" s="13">
        <v>607</v>
      </c>
      <c r="CN81" s="13" t="s">
        <v>545</v>
      </c>
      <c r="CO81" s="13">
        <v>159</v>
      </c>
      <c r="CP81" s="13">
        <v>788</v>
      </c>
      <c r="CQ81" s="13" t="s">
        <v>906</v>
      </c>
      <c r="CR81" s="13" t="s">
        <v>907</v>
      </c>
      <c r="CS81" s="13" t="s">
        <v>908</v>
      </c>
      <c r="CT81" s="13">
        <v>869</v>
      </c>
      <c r="CU81" s="13">
        <v>12</v>
      </c>
      <c r="CV81" s="13">
        <v>26</v>
      </c>
      <c r="CW81" s="13">
        <v>261</v>
      </c>
      <c r="CX81" s="13">
        <v>514</v>
      </c>
      <c r="CY81" s="13" t="s">
        <v>545</v>
      </c>
      <c r="CZ81" s="13">
        <v>65</v>
      </c>
      <c r="DA81" s="13">
        <v>681</v>
      </c>
      <c r="DB81" s="13" t="s">
        <v>545</v>
      </c>
      <c r="DC81" s="32" t="s">
        <v>909</v>
      </c>
    </row>
    <row r="82" spans="1:107" ht="19">
      <c r="A82" s="9" t="s">
        <v>263</v>
      </c>
      <c r="B82" s="9" t="s">
        <v>264</v>
      </c>
      <c r="C82" s="13" t="s">
        <v>545</v>
      </c>
      <c r="D82" s="13" t="s">
        <v>545</v>
      </c>
      <c r="E82" s="13" t="s">
        <v>545</v>
      </c>
      <c r="F82" s="13" t="s">
        <v>545</v>
      </c>
      <c r="G82" s="13" t="s">
        <v>545</v>
      </c>
      <c r="H82" s="13" t="s">
        <v>545</v>
      </c>
      <c r="I82" s="13" t="s">
        <v>545</v>
      </c>
      <c r="J82" s="13" t="s">
        <v>545</v>
      </c>
      <c r="K82" s="13" t="s">
        <v>545</v>
      </c>
      <c r="L82" s="13" t="s">
        <v>545</v>
      </c>
      <c r="M82" s="13" t="s">
        <v>545</v>
      </c>
      <c r="N82" s="13" t="s">
        <v>545</v>
      </c>
      <c r="O82" s="13" t="s">
        <v>545</v>
      </c>
      <c r="P82" s="13" t="s">
        <v>545</v>
      </c>
      <c r="Q82" s="13" t="s">
        <v>545</v>
      </c>
      <c r="R82" s="13" t="s">
        <v>545</v>
      </c>
      <c r="S82" s="13" t="s">
        <v>545</v>
      </c>
      <c r="T82" s="13" t="s">
        <v>545</v>
      </c>
      <c r="U82" s="13" t="s">
        <v>545</v>
      </c>
      <c r="V82" s="13" t="s">
        <v>545</v>
      </c>
      <c r="W82" s="13" t="s">
        <v>545</v>
      </c>
      <c r="X82" s="13" t="s">
        <v>545</v>
      </c>
      <c r="Y82" s="13" t="s">
        <v>545</v>
      </c>
      <c r="Z82" s="13" t="s">
        <v>545</v>
      </c>
      <c r="AA82" s="13" t="s">
        <v>545</v>
      </c>
      <c r="AB82" s="13" t="s">
        <v>545</v>
      </c>
      <c r="AC82" s="13" t="s">
        <v>545</v>
      </c>
      <c r="AD82" s="13" t="s">
        <v>545</v>
      </c>
      <c r="AE82" s="13" t="s">
        <v>545</v>
      </c>
      <c r="AF82" s="13" t="s">
        <v>545</v>
      </c>
      <c r="AG82" s="13" t="s">
        <v>545</v>
      </c>
      <c r="AH82" s="13" t="s">
        <v>545</v>
      </c>
      <c r="AI82" s="13" t="s">
        <v>545</v>
      </c>
      <c r="AJ82" s="13" t="s">
        <v>545</v>
      </c>
      <c r="AK82" s="13" t="s">
        <v>545</v>
      </c>
      <c r="AL82" s="13" t="s">
        <v>545</v>
      </c>
      <c r="AM82" s="13" t="s">
        <v>545</v>
      </c>
      <c r="AN82" s="13" t="s">
        <v>545</v>
      </c>
      <c r="AO82" s="13" t="s">
        <v>545</v>
      </c>
      <c r="AP82" s="13" t="s">
        <v>545</v>
      </c>
      <c r="AQ82" s="13" t="s">
        <v>545</v>
      </c>
      <c r="AR82" s="13" t="s">
        <v>545</v>
      </c>
      <c r="AS82" s="13" t="s">
        <v>545</v>
      </c>
      <c r="AT82" s="13" t="s">
        <v>545</v>
      </c>
      <c r="AU82" s="13" t="s">
        <v>545</v>
      </c>
      <c r="AV82" s="13" t="s">
        <v>545</v>
      </c>
      <c r="AW82" s="13" t="s">
        <v>545</v>
      </c>
      <c r="AX82" s="13" t="s">
        <v>545</v>
      </c>
      <c r="AY82" s="13" t="s">
        <v>545</v>
      </c>
      <c r="AZ82" s="13" t="s">
        <v>545</v>
      </c>
      <c r="BA82" s="13" t="s">
        <v>545</v>
      </c>
      <c r="BB82" s="13" t="s">
        <v>545</v>
      </c>
      <c r="BC82" s="13" t="s">
        <v>545</v>
      </c>
      <c r="BD82" s="13" t="s">
        <v>545</v>
      </c>
      <c r="BE82" s="13" t="s">
        <v>545</v>
      </c>
      <c r="BF82" s="13" t="s">
        <v>545</v>
      </c>
      <c r="BG82" s="13" t="s">
        <v>545</v>
      </c>
      <c r="BH82" s="13" t="s">
        <v>545</v>
      </c>
      <c r="BI82" s="13" t="s">
        <v>545</v>
      </c>
      <c r="BJ82" s="13" t="s">
        <v>545</v>
      </c>
      <c r="BK82" s="13" t="s">
        <v>545</v>
      </c>
      <c r="BL82" s="13" t="s">
        <v>545</v>
      </c>
      <c r="BM82" s="13" t="s">
        <v>545</v>
      </c>
      <c r="BN82" s="13" t="s">
        <v>545</v>
      </c>
      <c r="BO82" s="13" t="s">
        <v>545</v>
      </c>
      <c r="BP82" s="13" t="s">
        <v>545</v>
      </c>
      <c r="BQ82" s="13" t="s">
        <v>545</v>
      </c>
      <c r="BR82" s="13" t="s">
        <v>545</v>
      </c>
      <c r="BS82" s="13" t="s">
        <v>545</v>
      </c>
      <c r="BT82" s="13" t="s">
        <v>545</v>
      </c>
      <c r="BU82" s="13" t="s">
        <v>545</v>
      </c>
      <c r="BV82" s="13" t="s">
        <v>545</v>
      </c>
      <c r="BW82" s="13" t="s">
        <v>545</v>
      </c>
      <c r="BX82" s="13" t="s">
        <v>545</v>
      </c>
      <c r="BY82" s="13" t="s">
        <v>545</v>
      </c>
      <c r="BZ82" s="13" t="s">
        <v>545</v>
      </c>
      <c r="CA82" s="13" t="s">
        <v>545</v>
      </c>
      <c r="CB82" s="13" t="s">
        <v>545</v>
      </c>
      <c r="CC82" s="13" t="s">
        <v>545</v>
      </c>
      <c r="CD82" s="13" t="s">
        <v>545</v>
      </c>
      <c r="CE82" s="13" t="s">
        <v>545</v>
      </c>
      <c r="CF82" s="13" t="s">
        <v>545</v>
      </c>
      <c r="CG82" s="13" t="s">
        <v>545</v>
      </c>
      <c r="CH82" s="13" t="s">
        <v>545</v>
      </c>
      <c r="CI82" s="13" t="s">
        <v>545</v>
      </c>
      <c r="CJ82" s="13" t="s">
        <v>545</v>
      </c>
      <c r="CK82" s="13" t="s">
        <v>545</v>
      </c>
      <c r="CL82" s="13" t="s">
        <v>545</v>
      </c>
      <c r="CM82" s="13" t="s">
        <v>545</v>
      </c>
      <c r="CN82" s="13" t="s">
        <v>545</v>
      </c>
      <c r="CO82" s="13" t="s">
        <v>545</v>
      </c>
      <c r="CP82" s="13" t="s">
        <v>545</v>
      </c>
      <c r="CQ82" s="13" t="s">
        <v>545</v>
      </c>
      <c r="CR82" s="13" t="s">
        <v>545</v>
      </c>
      <c r="CS82" s="13" t="s">
        <v>545</v>
      </c>
      <c r="CT82" s="13" t="s">
        <v>545</v>
      </c>
      <c r="CU82" s="13" t="s">
        <v>545</v>
      </c>
      <c r="CV82" s="13" t="s">
        <v>545</v>
      </c>
      <c r="CW82" s="13" t="s">
        <v>545</v>
      </c>
      <c r="CX82" s="13" t="s">
        <v>545</v>
      </c>
      <c r="CY82" s="13" t="s">
        <v>545</v>
      </c>
      <c r="CZ82" s="13" t="s">
        <v>545</v>
      </c>
      <c r="DA82" s="13" t="s">
        <v>545</v>
      </c>
      <c r="DB82" s="13" t="s">
        <v>545</v>
      </c>
      <c r="DC82" s="32" t="s">
        <v>545</v>
      </c>
    </row>
    <row r="83" spans="1:107" ht="19">
      <c r="A83" s="9" t="s">
        <v>265</v>
      </c>
      <c r="B83" s="9" t="s">
        <v>266</v>
      </c>
      <c r="C83" s="13" t="s">
        <v>545</v>
      </c>
      <c r="D83" s="13" t="s">
        <v>545</v>
      </c>
      <c r="E83" s="13" t="s">
        <v>545</v>
      </c>
      <c r="F83" s="13" t="s">
        <v>545</v>
      </c>
      <c r="G83" s="13" t="s">
        <v>545</v>
      </c>
      <c r="H83" s="13" t="s">
        <v>545</v>
      </c>
      <c r="I83" s="13" t="s">
        <v>545</v>
      </c>
      <c r="J83" s="13" t="s">
        <v>545</v>
      </c>
      <c r="K83" s="13" t="s">
        <v>545</v>
      </c>
      <c r="L83" s="13" t="s">
        <v>545</v>
      </c>
      <c r="M83" s="13" t="s">
        <v>545</v>
      </c>
      <c r="N83" s="13" t="s">
        <v>545</v>
      </c>
      <c r="O83" s="13" t="s">
        <v>545</v>
      </c>
      <c r="P83" s="13" t="s">
        <v>545</v>
      </c>
      <c r="Q83" s="13" t="s">
        <v>545</v>
      </c>
      <c r="R83" s="13" t="s">
        <v>545</v>
      </c>
      <c r="S83" s="13" t="s">
        <v>545</v>
      </c>
      <c r="T83" s="13" t="s">
        <v>545</v>
      </c>
      <c r="U83" s="13" t="s">
        <v>545</v>
      </c>
      <c r="V83" s="13" t="s">
        <v>545</v>
      </c>
      <c r="W83" s="13" t="s">
        <v>545</v>
      </c>
      <c r="X83" s="13" t="s">
        <v>545</v>
      </c>
      <c r="Y83" s="13" t="s">
        <v>545</v>
      </c>
      <c r="Z83" s="13" t="s">
        <v>545</v>
      </c>
      <c r="AA83" s="13" t="s">
        <v>545</v>
      </c>
      <c r="AB83" s="13" t="s">
        <v>545</v>
      </c>
      <c r="AC83" s="13" t="s">
        <v>545</v>
      </c>
      <c r="AD83" s="13" t="s">
        <v>545</v>
      </c>
      <c r="AE83" s="13" t="s">
        <v>545</v>
      </c>
      <c r="AF83" s="13" t="s">
        <v>545</v>
      </c>
      <c r="AG83" s="13" t="s">
        <v>545</v>
      </c>
      <c r="AH83" s="13" t="s">
        <v>545</v>
      </c>
      <c r="AI83" s="13" t="s">
        <v>545</v>
      </c>
      <c r="AJ83" s="13" t="s">
        <v>545</v>
      </c>
      <c r="AK83" s="13" t="s">
        <v>545</v>
      </c>
      <c r="AL83" s="13" t="s">
        <v>545</v>
      </c>
      <c r="AM83" s="13" t="s">
        <v>545</v>
      </c>
      <c r="AN83" s="13" t="s">
        <v>545</v>
      </c>
      <c r="AO83" s="13" t="s">
        <v>545</v>
      </c>
      <c r="AP83" s="13" t="s">
        <v>545</v>
      </c>
      <c r="AQ83" s="13" t="s">
        <v>545</v>
      </c>
      <c r="AR83" s="13" t="s">
        <v>545</v>
      </c>
      <c r="AS83" s="13" t="s">
        <v>545</v>
      </c>
      <c r="AT83" s="13" t="s">
        <v>545</v>
      </c>
      <c r="AU83" s="13" t="s">
        <v>545</v>
      </c>
      <c r="AV83" s="13" t="s">
        <v>545</v>
      </c>
      <c r="AW83" s="13" t="s">
        <v>545</v>
      </c>
      <c r="AX83" s="13" t="s">
        <v>545</v>
      </c>
      <c r="AY83" s="13" t="s">
        <v>545</v>
      </c>
      <c r="AZ83" s="13" t="s">
        <v>545</v>
      </c>
      <c r="BA83" s="13" t="s">
        <v>545</v>
      </c>
      <c r="BB83" s="13" t="s">
        <v>545</v>
      </c>
      <c r="BC83" s="13" t="s">
        <v>545</v>
      </c>
      <c r="BD83" s="13">
        <v>2</v>
      </c>
      <c r="BE83" s="13" t="s">
        <v>545</v>
      </c>
      <c r="BF83" s="13">
        <v>159</v>
      </c>
      <c r="BG83" s="13" t="s">
        <v>545</v>
      </c>
      <c r="BH83" s="13" t="s">
        <v>545</v>
      </c>
      <c r="BI83" s="13" t="s">
        <v>545</v>
      </c>
      <c r="BJ83" s="13" t="s">
        <v>545</v>
      </c>
      <c r="BK83" s="13" t="s">
        <v>545</v>
      </c>
      <c r="BL83" s="13" t="s">
        <v>545</v>
      </c>
      <c r="BM83" s="13" t="s">
        <v>545</v>
      </c>
      <c r="BN83" s="13" t="s">
        <v>545</v>
      </c>
      <c r="BO83" s="13" t="s">
        <v>545</v>
      </c>
      <c r="BP83" s="13" t="s">
        <v>545</v>
      </c>
      <c r="BQ83" s="13" t="s">
        <v>545</v>
      </c>
      <c r="BR83" s="13" t="s">
        <v>545</v>
      </c>
      <c r="BS83" s="13">
        <v>4</v>
      </c>
      <c r="BT83" s="13">
        <v>578</v>
      </c>
      <c r="BU83" s="13" t="s">
        <v>545</v>
      </c>
      <c r="BV83" s="13" t="s">
        <v>545</v>
      </c>
      <c r="BW83" s="13">
        <v>72</v>
      </c>
      <c r="BX83" s="13">
        <v>31</v>
      </c>
      <c r="BY83" s="13">
        <v>4</v>
      </c>
      <c r="BZ83" s="13">
        <v>156</v>
      </c>
      <c r="CA83" s="13">
        <v>45</v>
      </c>
      <c r="CB83" s="13">
        <v>421</v>
      </c>
      <c r="CC83" s="13">
        <v>6</v>
      </c>
      <c r="CD83" s="13" t="s">
        <v>545</v>
      </c>
      <c r="CE83" s="13">
        <v>5</v>
      </c>
      <c r="CF83" s="13">
        <v>101</v>
      </c>
      <c r="CG83" s="13" t="s">
        <v>545</v>
      </c>
      <c r="CH83" s="13" t="s">
        <v>545</v>
      </c>
      <c r="CI83" s="13" t="s">
        <v>545</v>
      </c>
      <c r="CJ83" s="13" t="s">
        <v>545</v>
      </c>
      <c r="CK83" s="13" t="s">
        <v>545</v>
      </c>
      <c r="CL83" s="13" t="s">
        <v>545</v>
      </c>
      <c r="CM83" s="13" t="s">
        <v>545</v>
      </c>
      <c r="CN83" s="13" t="s">
        <v>545</v>
      </c>
      <c r="CO83" s="13">
        <v>2</v>
      </c>
      <c r="CP83" s="13" t="s">
        <v>545</v>
      </c>
      <c r="CQ83" s="13">
        <v>8</v>
      </c>
      <c r="CR83" s="13">
        <v>15</v>
      </c>
      <c r="CS83" s="13" t="s">
        <v>545</v>
      </c>
      <c r="CT83" s="13" t="s">
        <v>545</v>
      </c>
      <c r="CU83" s="13" t="s">
        <v>545</v>
      </c>
      <c r="CV83" s="13" t="s">
        <v>545</v>
      </c>
      <c r="CW83" s="13" t="s">
        <v>545</v>
      </c>
      <c r="CX83" s="13" t="s">
        <v>545</v>
      </c>
      <c r="CY83" s="13" t="s">
        <v>545</v>
      </c>
      <c r="CZ83" s="13" t="s">
        <v>545</v>
      </c>
      <c r="DA83" s="13" t="s">
        <v>545</v>
      </c>
      <c r="DB83" s="13" t="s">
        <v>545</v>
      </c>
      <c r="DC83" s="32" t="s">
        <v>910</v>
      </c>
    </row>
    <row r="84" spans="1:107" ht="19">
      <c r="A84" s="9" t="s">
        <v>267</v>
      </c>
      <c r="B84" s="9" t="s">
        <v>268</v>
      </c>
      <c r="C84" s="13">
        <v>20</v>
      </c>
      <c r="D84" s="13">
        <v>6</v>
      </c>
      <c r="E84" s="13">
        <v>6</v>
      </c>
      <c r="F84" s="13">
        <v>1</v>
      </c>
      <c r="G84" s="13">
        <v>211</v>
      </c>
      <c r="H84" s="13">
        <v>42</v>
      </c>
      <c r="I84" s="13">
        <v>153</v>
      </c>
      <c r="J84" s="13">
        <v>90</v>
      </c>
      <c r="K84" s="13">
        <v>59</v>
      </c>
      <c r="L84" s="13" t="s">
        <v>545</v>
      </c>
      <c r="M84" s="13">
        <v>59</v>
      </c>
      <c r="N84" s="13">
        <v>111</v>
      </c>
      <c r="O84" s="13">
        <v>142</v>
      </c>
      <c r="P84" s="13">
        <v>52</v>
      </c>
      <c r="Q84" s="13">
        <v>80</v>
      </c>
      <c r="R84" s="13">
        <v>64</v>
      </c>
      <c r="S84" s="13">
        <v>28</v>
      </c>
      <c r="T84" s="13">
        <v>24</v>
      </c>
      <c r="U84" s="13">
        <v>1</v>
      </c>
      <c r="V84" s="13">
        <v>15</v>
      </c>
      <c r="W84" s="13">
        <v>9</v>
      </c>
      <c r="X84" s="13">
        <v>38</v>
      </c>
      <c r="Y84" s="13">
        <v>15</v>
      </c>
      <c r="Z84" s="13">
        <v>7</v>
      </c>
      <c r="AA84" s="13">
        <v>20</v>
      </c>
      <c r="AB84" s="13">
        <v>47</v>
      </c>
      <c r="AC84" s="13">
        <v>45</v>
      </c>
      <c r="AD84" s="13">
        <v>44</v>
      </c>
      <c r="AE84" s="13">
        <v>61</v>
      </c>
      <c r="AF84" s="13">
        <v>37</v>
      </c>
      <c r="AG84" s="13" t="s">
        <v>911</v>
      </c>
      <c r="AH84" s="13">
        <v>54</v>
      </c>
      <c r="AI84" s="13">
        <v>34</v>
      </c>
      <c r="AJ84" s="13">
        <v>90</v>
      </c>
      <c r="AK84" s="13">
        <v>95</v>
      </c>
      <c r="AL84" s="13">
        <v>22</v>
      </c>
      <c r="AM84" s="13">
        <v>25</v>
      </c>
      <c r="AN84" s="13">
        <v>359</v>
      </c>
      <c r="AO84" s="13">
        <v>139</v>
      </c>
      <c r="AP84" s="13">
        <v>348</v>
      </c>
      <c r="AQ84" s="13">
        <v>121</v>
      </c>
      <c r="AR84" s="13">
        <v>39</v>
      </c>
      <c r="AS84" s="13">
        <v>38</v>
      </c>
      <c r="AT84" s="13">
        <v>3</v>
      </c>
      <c r="AU84" s="13">
        <v>13</v>
      </c>
      <c r="AV84" s="13">
        <v>75</v>
      </c>
      <c r="AW84" s="13">
        <v>5</v>
      </c>
      <c r="AX84" s="13">
        <v>1</v>
      </c>
      <c r="AY84" s="13">
        <v>59</v>
      </c>
      <c r="AZ84" s="13">
        <v>831</v>
      </c>
      <c r="BA84" s="13">
        <v>228</v>
      </c>
      <c r="BB84" s="13">
        <v>37</v>
      </c>
      <c r="BC84" s="13">
        <v>9</v>
      </c>
      <c r="BD84" s="13">
        <v>71</v>
      </c>
      <c r="BE84" s="13">
        <v>6</v>
      </c>
      <c r="BF84" s="13" t="s">
        <v>912</v>
      </c>
      <c r="BG84" s="13">
        <v>113</v>
      </c>
      <c r="BH84" s="13">
        <v>833</v>
      </c>
      <c r="BI84" s="13">
        <v>679</v>
      </c>
      <c r="BJ84" s="13">
        <v>13</v>
      </c>
      <c r="BK84" s="13">
        <v>55</v>
      </c>
      <c r="BL84" s="13">
        <v>28</v>
      </c>
      <c r="BM84" s="13">
        <v>81</v>
      </c>
      <c r="BN84" s="13">
        <v>214</v>
      </c>
      <c r="BO84" s="13">
        <v>6</v>
      </c>
      <c r="BP84" s="13">
        <v>73</v>
      </c>
      <c r="BQ84" s="13">
        <v>115</v>
      </c>
      <c r="BR84" s="13">
        <v>200</v>
      </c>
      <c r="BS84" s="13">
        <v>499</v>
      </c>
      <c r="BT84" s="13">
        <v>567</v>
      </c>
      <c r="BU84" s="13" t="s">
        <v>913</v>
      </c>
      <c r="BV84" s="13">
        <v>534</v>
      </c>
      <c r="BW84" s="13" t="s">
        <v>914</v>
      </c>
      <c r="BX84" s="13">
        <v>517</v>
      </c>
      <c r="BY84" s="13">
        <v>566</v>
      </c>
      <c r="BZ84" s="13">
        <v>549</v>
      </c>
      <c r="CA84" s="13">
        <v>539</v>
      </c>
      <c r="CB84" s="13">
        <v>137</v>
      </c>
      <c r="CC84" s="13" t="s">
        <v>915</v>
      </c>
      <c r="CD84" s="13">
        <v>608</v>
      </c>
      <c r="CE84" s="13" t="s">
        <v>916</v>
      </c>
      <c r="CF84" s="13">
        <v>208</v>
      </c>
      <c r="CG84" s="13">
        <v>301</v>
      </c>
      <c r="CH84" s="13">
        <v>198</v>
      </c>
      <c r="CI84" s="13">
        <v>206</v>
      </c>
      <c r="CJ84" s="13">
        <v>7</v>
      </c>
      <c r="CK84" s="13">
        <v>471</v>
      </c>
      <c r="CL84" s="13">
        <v>276</v>
      </c>
      <c r="CM84" s="13">
        <v>184</v>
      </c>
      <c r="CN84" s="13">
        <v>10</v>
      </c>
      <c r="CO84" s="13">
        <v>69</v>
      </c>
      <c r="CP84" s="13">
        <v>512</v>
      </c>
      <c r="CQ84" s="13" t="s">
        <v>917</v>
      </c>
      <c r="CR84" s="13">
        <v>499</v>
      </c>
      <c r="CS84" s="13" t="s">
        <v>918</v>
      </c>
      <c r="CT84" s="13">
        <v>400</v>
      </c>
      <c r="CU84" s="13">
        <v>132</v>
      </c>
      <c r="CV84" s="13">
        <v>13</v>
      </c>
      <c r="CW84" s="13">
        <v>133</v>
      </c>
      <c r="CX84" s="13">
        <v>296</v>
      </c>
      <c r="CY84" s="13">
        <v>249</v>
      </c>
      <c r="CZ84" s="13">
        <v>27</v>
      </c>
      <c r="DA84" s="13">
        <v>36</v>
      </c>
      <c r="DB84" s="13" t="s">
        <v>545</v>
      </c>
      <c r="DC84" s="32" t="s">
        <v>919</v>
      </c>
    </row>
    <row r="85" spans="1:107" ht="19">
      <c r="A85" s="9" t="s">
        <v>269</v>
      </c>
      <c r="B85" s="9" t="s">
        <v>270</v>
      </c>
      <c r="C85" s="13">
        <v>64</v>
      </c>
      <c r="D85" s="13">
        <v>41</v>
      </c>
      <c r="E85" s="13">
        <v>13</v>
      </c>
      <c r="F85" s="13" t="s">
        <v>545</v>
      </c>
      <c r="G85" s="13">
        <v>53</v>
      </c>
      <c r="H85" s="13">
        <v>10</v>
      </c>
      <c r="I85" s="13">
        <v>17</v>
      </c>
      <c r="J85" s="13">
        <v>64</v>
      </c>
      <c r="K85" s="13">
        <v>44</v>
      </c>
      <c r="L85" s="13">
        <v>9</v>
      </c>
      <c r="M85" s="13">
        <v>82</v>
      </c>
      <c r="N85" s="13">
        <v>47</v>
      </c>
      <c r="O85" s="13">
        <v>88</v>
      </c>
      <c r="P85" s="13">
        <v>107</v>
      </c>
      <c r="Q85" s="13">
        <v>23</v>
      </c>
      <c r="R85" s="13">
        <v>152</v>
      </c>
      <c r="S85" s="13">
        <v>29</v>
      </c>
      <c r="T85" s="13">
        <v>52</v>
      </c>
      <c r="U85" s="13">
        <v>8</v>
      </c>
      <c r="V85" s="13">
        <v>10</v>
      </c>
      <c r="W85" s="13">
        <v>79</v>
      </c>
      <c r="X85" s="13">
        <v>62</v>
      </c>
      <c r="Y85" s="13">
        <v>36</v>
      </c>
      <c r="Z85" s="13">
        <v>21</v>
      </c>
      <c r="AA85" s="13">
        <v>12</v>
      </c>
      <c r="AB85" s="13">
        <v>43</v>
      </c>
      <c r="AC85" s="13">
        <v>85</v>
      </c>
      <c r="AD85" s="13">
        <v>7</v>
      </c>
      <c r="AE85" s="13">
        <v>71</v>
      </c>
      <c r="AF85" s="13">
        <v>14</v>
      </c>
      <c r="AG85" s="13">
        <v>522</v>
      </c>
      <c r="AH85" s="13">
        <v>90</v>
      </c>
      <c r="AI85" s="13">
        <v>50</v>
      </c>
      <c r="AJ85" s="13">
        <v>56</v>
      </c>
      <c r="AK85" s="13">
        <v>64</v>
      </c>
      <c r="AL85" s="13">
        <v>8</v>
      </c>
      <c r="AM85" s="13">
        <v>75</v>
      </c>
      <c r="AN85" s="13">
        <v>48</v>
      </c>
      <c r="AO85" s="13">
        <v>76</v>
      </c>
      <c r="AP85" s="13">
        <v>237</v>
      </c>
      <c r="AQ85" s="13">
        <v>139</v>
      </c>
      <c r="AR85" s="13">
        <v>64</v>
      </c>
      <c r="AS85" s="13">
        <v>48</v>
      </c>
      <c r="AT85" s="13">
        <v>7</v>
      </c>
      <c r="AU85" s="13">
        <v>17</v>
      </c>
      <c r="AV85" s="13">
        <v>112</v>
      </c>
      <c r="AW85" s="13">
        <v>35</v>
      </c>
      <c r="AX85" s="13">
        <v>1</v>
      </c>
      <c r="AY85" s="13">
        <v>77</v>
      </c>
      <c r="AZ85" s="13">
        <v>726</v>
      </c>
      <c r="BA85" s="13">
        <v>317</v>
      </c>
      <c r="BB85" s="13">
        <v>36</v>
      </c>
      <c r="BC85" s="13">
        <v>6</v>
      </c>
      <c r="BD85" s="13">
        <v>70</v>
      </c>
      <c r="BE85" s="13">
        <v>45</v>
      </c>
      <c r="BF85" s="13">
        <v>317</v>
      </c>
      <c r="BG85" s="13">
        <v>273</v>
      </c>
      <c r="BH85" s="13" t="s">
        <v>920</v>
      </c>
      <c r="BI85" s="13" t="s">
        <v>921</v>
      </c>
      <c r="BJ85" s="13">
        <v>143</v>
      </c>
      <c r="BK85" s="13">
        <v>139</v>
      </c>
      <c r="BL85" s="13">
        <v>25</v>
      </c>
      <c r="BM85" s="13">
        <v>29</v>
      </c>
      <c r="BN85" s="13">
        <v>222</v>
      </c>
      <c r="BO85" s="13">
        <v>44</v>
      </c>
      <c r="BP85" s="13">
        <v>89</v>
      </c>
      <c r="BQ85" s="13">
        <v>486</v>
      </c>
      <c r="BR85" s="13">
        <v>179</v>
      </c>
      <c r="BS85" s="13">
        <v>530</v>
      </c>
      <c r="BT85" s="13">
        <v>291</v>
      </c>
      <c r="BU85" s="13" t="s">
        <v>922</v>
      </c>
      <c r="BV85" s="13">
        <v>65</v>
      </c>
      <c r="BW85" s="13" t="s">
        <v>923</v>
      </c>
      <c r="BX85" s="13">
        <v>282</v>
      </c>
      <c r="BY85" s="13">
        <v>201</v>
      </c>
      <c r="BZ85" s="13">
        <v>278</v>
      </c>
      <c r="CA85" s="13" t="s">
        <v>545</v>
      </c>
      <c r="CB85" s="13">
        <v>142</v>
      </c>
      <c r="CC85" s="13">
        <v>374</v>
      </c>
      <c r="CD85" s="13" t="s">
        <v>924</v>
      </c>
      <c r="CE85" s="13" t="s">
        <v>770</v>
      </c>
      <c r="CF85" s="13">
        <v>536</v>
      </c>
      <c r="CG85" s="13">
        <v>243</v>
      </c>
      <c r="CH85" s="13">
        <v>664</v>
      </c>
      <c r="CI85" s="13">
        <v>392</v>
      </c>
      <c r="CJ85" s="13">
        <v>13</v>
      </c>
      <c r="CK85" s="13">
        <v>211</v>
      </c>
      <c r="CL85" s="13">
        <v>955</v>
      </c>
      <c r="CM85" s="13">
        <v>280</v>
      </c>
      <c r="CN85" s="13">
        <v>165</v>
      </c>
      <c r="CO85" s="13">
        <v>33</v>
      </c>
      <c r="CP85" s="13">
        <v>693</v>
      </c>
      <c r="CQ85" s="13">
        <v>549</v>
      </c>
      <c r="CR85" s="13">
        <v>957</v>
      </c>
      <c r="CS85" s="13" t="s">
        <v>925</v>
      </c>
      <c r="CT85" s="13">
        <v>940</v>
      </c>
      <c r="CU85" s="13">
        <v>286</v>
      </c>
      <c r="CV85" s="13">
        <v>29</v>
      </c>
      <c r="CW85" s="13">
        <v>40</v>
      </c>
      <c r="CX85" s="13">
        <v>255</v>
      </c>
      <c r="CY85" s="13">
        <v>335</v>
      </c>
      <c r="CZ85" s="13">
        <v>32</v>
      </c>
      <c r="DA85" s="13">
        <v>204</v>
      </c>
      <c r="DB85" s="13" t="s">
        <v>545</v>
      </c>
      <c r="DC85" s="32" t="s">
        <v>926</v>
      </c>
    </row>
    <row r="86" spans="1:107" ht="19">
      <c r="A86" s="9" t="s">
        <v>271</v>
      </c>
      <c r="B86" s="9" t="s">
        <v>272</v>
      </c>
      <c r="C86" s="13">
        <v>60</v>
      </c>
      <c r="D86" s="13" t="s">
        <v>545</v>
      </c>
      <c r="E86" s="13" t="s">
        <v>545</v>
      </c>
      <c r="F86" s="13" t="s">
        <v>545</v>
      </c>
      <c r="G86" s="13">
        <v>54</v>
      </c>
      <c r="H86" s="13">
        <v>5</v>
      </c>
      <c r="I86" s="13">
        <v>18</v>
      </c>
      <c r="J86" s="13">
        <v>45</v>
      </c>
      <c r="K86" s="13">
        <v>3</v>
      </c>
      <c r="L86" s="13" t="s">
        <v>545</v>
      </c>
      <c r="M86" s="13" t="s">
        <v>545</v>
      </c>
      <c r="N86" s="13">
        <v>9</v>
      </c>
      <c r="O86" s="13">
        <v>20</v>
      </c>
      <c r="P86" s="13">
        <v>14</v>
      </c>
      <c r="Q86" s="13">
        <v>4</v>
      </c>
      <c r="R86" s="13">
        <v>349</v>
      </c>
      <c r="S86" s="13">
        <v>110</v>
      </c>
      <c r="T86" s="13">
        <v>49</v>
      </c>
      <c r="U86" s="13">
        <v>6</v>
      </c>
      <c r="V86" s="13">
        <v>10</v>
      </c>
      <c r="W86" s="13" t="s">
        <v>545</v>
      </c>
      <c r="X86" s="13">
        <v>35</v>
      </c>
      <c r="Y86" s="13">
        <v>8</v>
      </c>
      <c r="Z86" s="13" t="s">
        <v>545</v>
      </c>
      <c r="AA86" s="13">
        <v>34</v>
      </c>
      <c r="AB86" s="13">
        <v>494</v>
      </c>
      <c r="AC86" s="13" t="s">
        <v>545</v>
      </c>
      <c r="AD86" s="13" t="s">
        <v>545</v>
      </c>
      <c r="AE86" s="13">
        <v>26</v>
      </c>
      <c r="AF86" s="13" t="s">
        <v>545</v>
      </c>
      <c r="AG86" s="13">
        <v>114</v>
      </c>
      <c r="AH86" s="13">
        <v>212</v>
      </c>
      <c r="AI86" s="13">
        <v>2</v>
      </c>
      <c r="AJ86" s="13">
        <v>2</v>
      </c>
      <c r="AK86" s="13">
        <v>8</v>
      </c>
      <c r="AL86" s="13" t="s">
        <v>545</v>
      </c>
      <c r="AM86" s="13">
        <v>29</v>
      </c>
      <c r="AN86" s="13">
        <v>72</v>
      </c>
      <c r="AO86" s="13">
        <v>3</v>
      </c>
      <c r="AP86" s="13">
        <v>108</v>
      </c>
      <c r="AQ86" s="13">
        <v>492</v>
      </c>
      <c r="AR86" s="13" t="s">
        <v>545</v>
      </c>
      <c r="AS86" s="13">
        <v>78</v>
      </c>
      <c r="AT86" s="13">
        <v>10</v>
      </c>
      <c r="AU86" s="13">
        <v>4</v>
      </c>
      <c r="AV86" s="13">
        <v>170</v>
      </c>
      <c r="AW86" s="13" t="s">
        <v>545</v>
      </c>
      <c r="AX86" s="13">
        <v>1</v>
      </c>
      <c r="AY86" s="13">
        <v>159</v>
      </c>
      <c r="AZ86" s="13" t="s">
        <v>914</v>
      </c>
      <c r="BA86" s="13" t="s">
        <v>927</v>
      </c>
      <c r="BB86" s="13">
        <v>6</v>
      </c>
      <c r="BC86" s="13">
        <v>8</v>
      </c>
      <c r="BD86" s="13">
        <v>89</v>
      </c>
      <c r="BE86" s="13" t="s">
        <v>545</v>
      </c>
      <c r="BF86" s="13">
        <v>121</v>
      </c>
      <c r="BG86" s="13">
        <v>197</v>
      </c>
      <c r="BH86" s="13" t="s">
        <v>928</v>
      </c>
      <c r="BI86" s="13" t="s">
        <v>586</v>
      </c>
      <c r="BJ86" s="13">
        <v>327</v>
      </c>
      <c r="BK86" s="13">
        <v>115</v>
      </c>
      <c r="BL86" s="13">
        <v>53</v>
      </c>
      <c r="BM86" s="13">
        <v>121</v>
      </c>
      <c r="BN86" s="13">
        <v>399</v>
      </c>
      <c r="BO86" s="13">
        <v>136</v>
      </c>
      <c r="BP86" s="13">
        <v>121</v>
      </c>
      <c r="BQ86" s="13">
        <v>387</v>
      </c>
      <c r="BR86" s="13">
        <v>423</v>
      </c>
      <c r="BS86" s="13">
        <v>702</v>
      </c>
      <c r="BT86" s="13" t="s">
        <v>895</v>
      </c>
      <c r="BU86" s="13" t="s">
        <v>929</v>
      </c>
      <c r="BV86" s="13" t="s">
        <v>928</v>
      </c>
      <c r="BW86" s="13" t="s">
        <v>930</v>
      </c>
      <c r="BX86" s="13">
        <v>664</v>
      </c>
      <c r="BY86" s="13">
        <v>231</v>
      </c>
      <c r="BZ86" s="13">
        <v>912</v>
      </c>
      <c r="CA86" s="13" t="s">
        <v>545</v>
      </c>
      <c r="CB86" s="13">
        <v>50</v>
      </c>
      <c r="CC86" s="13">
        <v>514</v>
      </c>
      <c r="CD86" s="13">
        <v>229</v>
      </c>
      <c r="CE86" s="13" t="s">
        <v>931</v>
      </c>
      <c r="CF86" s="13">
        <v>589</v>
      </c>
      <c r="CG86" s="13" t="s">
        <v>932</v>
      </c>
      <c r="CH86" s="13">
        <v>690</v>
      </c>
      <c r="CI86" s="13">
        <v>220</v>
      </c>
      <c r="CJ86" s="13" t="s">
        <v>545</v>
      </c>
      <c r="CK86" s="13">
        <v>318</v>
      </c>
      <c r="CL86" s="13">
        <v>537</v>
      </c>
      <c r="CM86" s="13">
        <v>520</v>
      </c>
      <c r="CN86" s="13">
        <v>12</v>
      </c>
      <c r="CO86" s="13">
        <v>15</v>
      </c>
      <c r="CP86" s="13">
        <v>466</v>
      </c>
      <c r="CQ86" s="13" t="s">
        <v>933</v>
      </c>
      <c r="CR86" s="13" t="s">
        <v>934</v>
      </c>
      <c r="CS86" s="13">
        <v>70</v>
      </c>
      <c r="CT86" s="13">
        <v>91</v>
      </c>
      <c r="CU86" s="13">
        <v>83</v>
      </c>
      <c r="CV86" s="13">
        <v>75</v>
      </c>
      <c r="CW86" s="13">
        <v>389</v>
      </c>
      <c r="CX86" s="13">
        <v>573</v>
      </c>
      <c r="CY86" s="13">
        <v>15</v>
      </c>
      <c r="CZ86" s="13">
        <v>24</v>
      </c>
      <c r="DA86" s="13">
        <v>208</v>
      </c>
      <c r="DB86" s="13" t="s">
        <v>545</v>
      </c>
      <c r="DC86" s="32" t="s">
        <v>935</v>
      </c>
    </row>
    <row r="87" spans="1:107" ht="19">
      <c r="A87" s="9" t="s">
        <v>273</v>
      </c>
      <c r="B87" s="9" t="s">
        <v>274</v>
      </c>
      <c r="C87" s="13">
        <v>231</v>
      </c>
      <c r="D87" s="13" t="s">
        <v>545</v>
      </c>
      <c r="E87" s="13">
        <v>5</v>
      </c>
      <c r="F87" s="13">
        <v>1</v>
      </c>
      <c r="G87" s="13">
        <v>661</v>
      </c>
      <c r="H87" s="13">
        <v>24</v>
      </c>
      <c r="I87" s="13">
        <v>217</v>
      </c>
      <c r="J87" s="13">
        <v>58</v>
      </c>
      <c r="K87" s="13">
        <v>24</v>
      </c>
      <c r="L87" s="13">
        <v>25</v>
      </c>
      <c r="M87" s="13">
        <v>31</v>
      </c>
      <c r="N87" s="13">
        <v>19</v>
      </c>
      <c r="O87" s="13">
        <v>18</v>
      </c>
      <c r="P87" s="13">
        <v>71</v>
      </c>
      <c r="Q87" s="13">
        <v>6</v>
      </c>
      <c r="R87" s="13">
        <v>25</v>
      </c>
      <c r="S87" s="13">
        <v>10</v>
      </c>
      <c r="T87" s="13">
        <v>64</v>
      </c>
      <c r="U87" s="13" t="s">
        <v>545</v>
      </c>
      <c r="V87" s="13">
        <v>2</v>
      </c>
      <c r="W87" s="13">
        <v>12</v>
      </c>
      <c r="X87" s="13">
        <v>8</v>
      </c>
      <c r="Y87" s="13" t="s">
        <v>545</v>
      </c>
      <c r="Z87" s="13">
        <v>248</v>
      </c>
      <c r="AA87" s="13">
        <v>9</v>
      </c>
      <c r="AB87" s="13">
        <v>24</v>
      </c>
      <c r="AC87" s="13">
        <v>6</v>
      </c>
      <c r="AD87" s="13">
        <v>49</v>
      </c>
      <c r="AE87" s="13">
        <v>45</v>
      </c>
      <c r="AF87" s="13">
        <v>13</v>
      </c>
      <c r="AG87" s="13">
        <v>428</v>
      </c>
      <c r="AH87" s="13">
        <v>22</v>
      </c>
      <c r="AI87" s="13">
        <v>201</v>
      </c>
      <c r="AJ87" s="13">
        <v>14</v>
      </c>
      <c r="AK87" s="13">
        <v>23</v>
      </c>
      <c r="AL87" s="13">
        <v>22</v>
      </c>
      <c r="AM87" s="13">
        <v>342</v>
      </c>
      <c r="AN87" s="13">
        <v>135</v>
      </c>
      <c r="AO87" s="13">
        <v>120</v>
      </c>
      <c r="AP87" s="13">
        <v>311</v>
      </c>
      <c r="AQ87" s="13">
        <v>85</v>
      </c>
      <c r="AR87" s="13">
        <v>9</v>
      </c>
      <c r="AS87" s="13">
        <v>570</v>
      </c>
      <c r="AT87" s="13">
        <v>99</v>
      </c>
      <c r="AU87" s="13">
        <v>3</v>
      </c>
      <c r="AV87" s="13">
        <v>12</v>
      </c>
      <c r="AW87" s="13">
        <v>6</v>
      </c>
      <c r="AX87" s="13">
        <v>1</v>
      </c>
      <c r="AY87" s="13">
        <v>144</v>
      </c>
      <c r="AZ87" s="13">
        <v>897</v>
      </c>
      <c r="BA87" s="13">
        <v>19</v>
      </c>
      <c r="BB87" s="13">
        <v>234</v>
      </c>
      <c r="BC87" s="13">
        <v>1</v>
      </c>
      <c r="BD87" s="13">
        <v>342</v>
      </c>
      <c r="BE87" s="13">
        <v>34</v>
      </c>
      <c r="BF87" s="13" t="s">
        <v>936</v>
      </c>
      <c r="BG87" s="13">
        <v>73</v>
      </c>
      <c r="BH87" s="13">
        <v>162</v>
      </c>
      <c r="BI87" s="13">
        <v>413</v>
      </c>
      <c r="BJ87" s="13">
        <v>10</v>
      </c>
      <c r="BK87" s="13">
        <v>69</v>
      </c>
      <c r="BL87" s="13">
        <v>8</v>
      </c>
      <c r="BM87" s="13">
        <v>21</v>
      </c>
      <c r="BN87" s="13">
        <v>114</v>
      </c>
      <c r="BO87" s="13">
        <v>3</v>
      </c>
      <c r="BP87" s="13">
        <v>37</v>
      </c>
      <c r="BQ87" s="13">
        <v>10</v>
      </c>
      <c r="BR87" s="13">
        <v>9</v>
      </c>
      <c r="BS87" s="13">
        <v>208</v>
      </c>
      <c r="BT87" s="13">
        <v>97</v>
      </c>
      <c r="BU87" s="13">
        <v>36</v>
      </c>
      <c r="BV87" s="13" t="s">
        <v>545</v>
      </c>
      <c r="BW87" s="13" t="s">
        <v>937</v>
      </c>
      <c r="BX87" s="13">
        <v>351</v>
      </c>
      <c r="BY87" s="13">
        <v>198</v>
      </c>
      <c r="BZ87" s="13">
        <v>36</v>
      </c>
      <c r="CA87" s="13" t="s">
        <v>938</v>
      </c>
      <c r="CB87" s="13">
        <v>27</v>
      </c>
      <c r="CC87" s="13">
        <v>99</v>
      </c>
      <c r="CD87" s="13">
        <v>1</v>
      </c>
      <c r="CE87" s="13">
        <v>332</v>
      </c>
      <c r="CF87" s="13" t="s">
        <v>939</v>
      </c>
      <c r="CG87" s="13">
        <v>48</v>
      </c>
      <c r="CH87" s="13" t="s">
        <v>545</v>
      </c>
      <c r="CI87" s="13">
        <v>151</v>
      </c>
      <c r="CJ87" s="13" t="s">
        <v>545</v>
      </c>
      <c r="CK87" s="13">
        <v>69</v>
      </c>
      <c r="CL87" s="13">
        <v>115</v>
      </c>
      <c r="CM87" s="13">
        <v>101</v>
      </c>
      <c r="CN87" s="13">
        <v>1</v>
      </c>
      <c r="CO87" s="13">
        <v>40</v>
      </c>
      <c r="CP87" s="13">
        <v>24</v>
      </c>
      <c r="CQ87" s="13" t="s">
        <v>576</v>
      </c>
      <c r="CR87" s="13">
        <v>325</v>
      </c>
      <c r="CS87" s="13" t="s">
        <v>914</v>
      </c>
      <c r="CT87" s="13">
        <v>128</v>
      </c>
      <c r="CU87" s="13">
        <v>93</v>
      </c>
      <c r="CV87" s="13">
        <v>5</v>
      </c>
      <c r="CW87" s="13" t="s">
        <v>545</v>
      </c>
      <c r="CX87" s="13">
        <v>272</v>
      </c>
      <c r="CY87" s="13">
        <v>26</v>
      </c>
      <c r="CZ87" s="13" t="s">
        <v>545</v>
      </c>
      <c r="DA87" s="13">
        <v>3</v>
      </c>
      <c r="DB87" s="13" t="s">
        <v>545</v>
      </c>
      <c r="DC87" s="32" t="s">
        <v>940</v>
      </c>
    </row>
    <row r="88" spans="1:107" ht="19">
      <c r="A88" s="9" t="s">
        <v>275</v>
      </c>
      <c r="B88" s="9" t="s">
        <v>276</v>
      </c>
      <c r="C88" s="13" t="s">
        <v>545</v>
      </c>
      <c r="D88" s="13" t="s">
        <v>545</v>
      </c>
      <c r="E88" s="13" t="s">
        <v>545</v>
      </c>
      <c r="F88" s="13" t="s">
        <v>545</v>
      </c>
      <c r="G88" s="13" t="s">
        <v>545</v>
      </c>
      <c r="H88" s="13" t="s">
        <v>545</v>
      </c>
      <c r="I88" s="13" t="s">
        <v>545</v>
      </c>
      <c r="J88" s="13" t="s">
        <v>545</v>
      </c>
      <c r="K88" s="13" t="s">
        <v>545</v>
      </c>
      <c r="L88" s="13" t="s">
        <v>545</v>
      </c>
      <c r="M88" s="13" t="s">
        <v>545</v>
      </c>
      <c r="N88" s="13" t="s">
        <v>545</v>
      </c>
      <c r="O88" s="13" t="s">
        <v>545</v>
      </c>
      <c r="P88" s="13" t="s">
        <v>545</v>
      </c>
      <c r="Q88" s="13" t="s">
        <v>545</v>
      </c>
      <c r="R88" s="13" t="s">
        <v>545</v>
      </c>
      <c r="S88" s="13" t="s">
        <v>545</v>
      </c>
      <c r="T88" s="13" t="s">
        <v>545</v>
      </c>
      <c r="U88" s="13" t="s">
        <v>545</v>
      </c>
      <c r="V88" s="13" t="s">
        <v>545</v>
      </c>
      <c r="W88" s="13" t="s">
        <v>545</v>
      </c>
      <c r="X88" s="13" t="s">
        <v>545</v>
      </c>
      <c r="Y88" s="13" t="s">
        <v>545</v>
      </c>
      <c r="Z88" s="13" t="s">
        <v>545</v>
      </c>
      <c r="AA88" s="13" t="s">
        <v>545</v>
      </c>
      <c r="AB88" s="13" t="s">
        <v>545</v>
      </c>
      <c r="AC88" s="13" t="s">
        <v>545</v>
      </c>
      <c r="AD88" s="13" t="s">
        <v>545</v>
      </c>
      <c r="AE88" s="13" t="s">
        <v>545</v>
      </c>
      <c r="AF88" s="13" t="s">
        <v>545</v>
      </c>
      <c r="AG88" s="13" t="s">
        <v>545</v>
      </c>
      <c r="AH88" s="13" t="s">
        <v>545</v>
      </c>
      <c r="AI88" s="13" t="s">
        <v>545</v>
      </c>
      <c r="AJ88" s="13" t="s">
        <v>545</v>
      </c>
      <c r="AK88" s="13" t="s">
        <v>545</v>
      </c>
      <c r="AL88" s="13" t="s">
        <v>545</v>
      </c>
      <c r="AM88" s="13" t="s">
        <v>545</v>
      </c>
      <c r="AN88" s="13" t="s">
        <v>545</v>
      </c>
      <c r="AO88" s="13" t="s">
        <v>545</v>
      </c>
      <c r="AP88" s="13" t="s">
        <v>545</v>
      </c>
      <c r="AQ88" s="13" t="s">
        <v>545</v>
      </c>
      <c r="AR88" s="13" t="s">
        <v>545</v>
      </c>
      <c r="AS88" s="13" t="s">
        <v>545</v>
      </c>
      <c r="AT88" s="13" t="s">
        <v>545</v>
      </c>
      <c r="AU88" s="13" t="s">
        <v>545</v>
      </c>
      <c r="AV88" s="13" t="s">
        <v>545</v>
      </c>
      <c r="AW88" s="13" t="s">
        <v>545</v>
      </c>
      <c r="AX88" s="13" t="s">
        <v>545</v>
      </c>
      <c r="AY88" s="13" t="s">
        <v>545</v>
      </c>
      <c r="AZ88" s="13" t="s">
        <v>545</v>
      </c>
      <c r="BA88" s="13" t="s">
        <v>545</v>
      </c>
      <c r="BB88" s="13" t="s">
        <v>545</v>
      </c>
      <c r="BC88" s="13" t="s">
        <v>545</v>
      </c>
      <c r="BD88" s="13" t="s">
        <v>545</v>
      </c>
      <c r="BE88" s="13" t="s">
        <v>545</v>
      </c>
      <c r="BF88" s="13" t="s">
        <v>545</v>
      </c>
      <c r="BG88" s="13" t="s">
        <v>545</v>
      </c>
      <c r="BH88" s="13" t="s">
        <v>545</v>
      </c>
      <c r="BI88" s="13" t="s">
        <v>545</v>
      </c>
      <c r="BJ88" s="13" t="s">
        <v>545</v>
      </c>
      <c r="BK88" s="13" t="s">
        <v>545</v>
      </c>
      <c r="BL88" s="13" t="s">
        <v>545</v>
      </c>
      <c r="BM88" s="13" t="s">
        <v>545</v>
      </c>
      <c r="BN88" s="13" t="s">
        <v>545</v>
      </c>
      <c r="BO88" s="13" t="s">
        <v>545</v>
      </c>
      <c r="BP88" s="13" t="s">
        <v>545</v>
      </c>
      <c r="BQ88" s="13" t="s">
        <v>545</v>
      </c>
      <c r="BR88" s="13" t="s">
        <v>545</v>
      </c>
      <c r="BS88" s="13" t="s">
        <v>545</v>
      </c>
      <c r="BT88" s="13" t="s">
        <v>545</v>
      </c>
      <c r="BU88" s="13" t="s">
        <v>545</v>
      </c>
      <c r="BV88" s="13" t="s">
        <v>545</v>
      </c>
      <c r="BW88" s="13" t="s">
        <v>545</v>
      </c>
      <c r="BX88" s="13">
        <v>62</v>
      </c>
      <c r="BY88" s="13" t="s">
        <v>545</v>
      </c>
      <c r="BZ88" s="13" t="s">
        <v>545</v>
      </c>
      <c r="CA88" s="13" t="s">
        <v>545</v>
      </c>
      <c r="CB88" s="13" t="s">
        <v>545</v>
      </c>
      <c r="CC88" s="13" t="s">
        <v>545</v>
      </c>
      <c r="CD88" s="13" t="s">
        <v>545</v>
      </c>
      <c r="CE88" s="13" t="s">
        <v>545</v>
      </c>
      <c r="CF88" s="13" t="s">
        <v>545</v>
      </c>
      <c r="CG88" s="13" t="s">
        <v>941</v>
      </c>
      <c r="CH88" s="13" t="s">
        <v>545</v>
      </c>
      <c r="CI88" s="13" t="s">
        <v>545</v>
      </c>
      <c r="CJ88" s="13" t="s">
        <v>545</v>
      </c>
      <c r="CK88" s="13" t="s">
        <v>545</v>
      </c>
      <c r="CL88" s="13" t="s">
        <v>545</v>
      </c>
      <c r="CM88" s="13" t="s">
        <v>545</v>
      </c>
      <c r="CN88" s="13" t="s">
        <v>545</v>
      </c>
      <c r="CO88" s="13" t="s">
        <v>545</v>
      </c>
      <c r="CP88" s="13" t="s">
        <v>545</v>
      </c>
      <c r="CQ88" s="13" t="s">
        <v>545</v>
      </c>
      <c r="CR88" s="13" t="s">
        <v>545</v>
      </c>
      <c r="CS88" s="13" t="s">
        <v>545</v>
      </c>
      <c r="CT88" s="13" t="s">
        <v>545</v>
      </c>
      <c r="CU88" s="13" t="s">
        <v>545</v>
      </c>
      <c r="CV88" s="13" t="s">
        <v>545</v>
      </c>
      <c r="CW88" s="13" t="s">
        <v>545</v>
      </c>
      <c r="CX88" s="13" t="s">
        <v>545</v>
      </c>
      <c r="CY88" s="13" t="s">
        <v>545</v>
      </c>
      <c r="CZ88" s="13" t="s">
        <v>545</v>
      </c>
      <c r="DA88" s="13" t="s">
        <v>545</v>
      </c>
      <c r="DB88" s="13" t="s">
        <v>545</v>
      </c>
      <c r="DC88" s="32" t="s">
        <v>942</v>
      </c>
    </row>
    <row r="89" spans="1:107" ht="19">
      <c r="A89" s="9" t="s">
        <v>277</v>
      </c>
      <c r="B89" s="9" t="s">
        <v>278</v>
      </c>
      <c r="C89" s="13">
        <v>287</v>
      </c>
      <c r="D89" s="13">
        <v>4</v>
      </c>
      <c r="E89" s="13">
        <v>2</v>
      </c>
      <c r="F89" s="13" t="s">
        <v>545</v>
      </c>
      <c r="G89" s="13">
        <v>39</v>
      </c>
      <c r="H89" s="13">
        <v>10</v>
      </c>
      <c r="I89" s="13">
        <v>9</v>
      </c>
      <c r="J89" s="13">
        <v>40</v>
      </c>
      <c r="K89" s="13">
        <v>115</v>
      </c>
      <c r="L89" s="13">
        <v>15</v>
      </c>
      <c r="M89" s="13">
        <v>78</v>
      </c>
      <c r="N89" s="13">
        <v>35</v>
      </c>
      <c r="O89" s="13">
        <v>153</v>
      </c>
      <c r="P89" s="13">
        <v>346</v>
      </c>
      <c r="Q89" s="13">
        <v>176</v>
      </c>
      <c r="R89" s="13">
        <v>513</v>
      </c>
      <c r="S89" s="13">
        <v>124</v>
      </c>
      <c r="T89" s="13">
        <v>53</v>
      </c>
      <c r="U89" s="13">
        <v>25</v>
      </c>
      <c r="V89" s="13">
        <v>44</v>
      </c>
      <c r="W89" s="13">
        <v>37</v>
      </c>
      <c r="X89" s="13">
        <v>72</v>
      </c>
      <c r="Y89" s="13">
        <v>135</v>
      </c>
      <c r="Z89" s="13">
        <v>11</v>
      </c>
      <c r="AA89" s="13">
        <v>57</v>
      </c>
      <c r="AB89" s="13">
        <v>316</v>
      </c>
      <c r="AC89" s="13">
        <v>44</v>
      </c>
      <c r="AD89" s="13">
        <v>9</v>
      </c>
      <c r="AE89" s="13">
        <v>9</v>
      </c>
      <c r="AF89" s="13">
        <v>3</v>
      </c>
      <c r="AG89" s="13">
        <v>561</v>
      </c>
      <c r="AH89" s="13">
        <v>102</v>
      </c>
      <c r="AI89" s="13">
        <v>18</v>
      </c>
      <c r="AJ89" s="13">
        <v>53</v>
      </c>
      <c r="AK89" s="13">
        <v>6</v>
      </c>
      <c r="AL89" s="13">
        <v>4</v>
      </c>
      <c r="AM89" s="13">
        <v>190</v>
      </c>
      <c r="AN89" s="13">
        <v>104</v>
      </c>
      <c r="AO89" s="13">
        <v>61</v>
      </c>
      <c r="AP89" s="13">
        <v>276</v>
      </c>
      <c r="AQ89" s="13">
        <v>977</v>
      </c>
      <c r="AR89" s="13">
        <v>11</v>
      </c>
      <c r="AS89" s="13">
        <v>15</v>
      </c>
      <c r="AT89" s="13">
        <v>17</v>
      </c>
      <c r="AU89" s="13">
        <v>94</v>
      </c>
      <c r="AV89" s="13">
        <v>125</v>
      </c>
      <c r="AW89" s="13">
        <v>4</v>
      </c>
      <c r="AX89" s="13">
        <v>7</v>
      </c>
      <c r="AY89" s="13">
        <v>60</v>
      </c>
      <c r="AZ89" s="13">
        <v>251</v>
      </c>
      <c r="BA89" s="13">
        <v>21</v>
      </c>
      <c r="BB89" s="13">
        <v>10</v>
      </c>
      <c r="BC89" s="13">
        <v>64</v>
      </c>
      <c r="BD89" s="13">
        <v>68</v>
      </c>
      <c r="BE89" s="13">
        <v>5</v>
      </c>
      <c r="BF89" s="13" t="s">
        <v>943</v>
      </c>
      <c r="BG89" s="13" t="s">
        <v>944</v>
      </c>
      <c r="BH89" s="13" t="s">
        <v>945</v>
      </c>
      <c r="BI89" s="13" t="s">
        <v>946</v>
      </c>
      <c r="BJ89" s="13">
        <v>174</v>
      </c>
      <c r="BK89" s="13">
        <v>173</v>
      </c>
      <c r="BL89" s="13">
        <v>100</v>
      </c>
      <c r="BM89" s="13">
        <v>245</v>
      </c>
      <c r="BN89" s="13">
        <v>380</v>
      </c>
      <c r="BO89" s="13">
        <v>45</v>
      </c>
      <c r="BP89" s="13">
        <v>963</v>
      </c>
      <c r="BQ89" s="13">
        <v>963</v>
      </c>
      <c r="BR89" s="13">
        <v>775</v>
      </c>
      <c r="BS89" s="13" t="s">
        <v>947</v>
      </c>
      <c r="BT89" s="13">
        <v>852</v>
      </c>
      <c r="BU89" s="13" t="s">
        <v>948</v>
      </c>
      <c r="BV89" s="13">
        <v>731</v>
      </c>
      <c r="BW89" s="13" t="s">
        <v>949</v>
      </c>
      <c r="BX89" s="13" t="s">
        <v>950</v>
      </c>
      <c r="BY89" s="13">
        <v>333</v>
      </c>
      <c r="BZ89" s="13">
        <v>388</v>
      </c>
      <c r="CA89" s="13">
        <v>401</v>
      </c>
      <c r="CB89" s="13">
        <v>420</v>
      </c>
      <c r="CC89" s="13">
        <v>554</v>
      </c>
      <c r="CD89" s="13">
        <v>117</v>
      </c>
      <c r="CE89" s="13">
        <v>740</v>
      </c>
      <c r="CF89" s="13">
        <v>413</v>
      </c>
      <c r="CG89" s="13">
        <v>603</v>
      </c>
      <c r="CH89" s="13" t="s">
        <v>951</v>
      </c>
      <c r="CI89" s="13">
        <v>410</v>
      </c>
      <c r="CJ89" s="13">
        <v>62</v>
      </c>
      <c r="CK89" s="13">
        <v>454</v>
      </c>
      <c r="CL89" s="13">
        <v>858</v>
      </c>
      <c r="CM89" s="13">
        <v>948</v>
      </c>
      <c r="CN89" s="13">
        <v>117</v>
      </c>
      <c r="CO89" s="13">
        <v>143</v>
      </c>
      <c r="CP89" s="13">
        <v>440</v>
      </c>
      <c r="CQ89" s="13" t="s">
        <v>952</v>
      </c>
      <c r="CR89" s="13" t="s">
        <v>953</v>
      </c>
      <c r="CS89" s="13">
        <v>525</v>
      </c>
      <c r="CT89" s="13">
        <v>549</v>
      </c>
      <c r="CU89" s="13">
        <v>362</v>
      </c>
      <c r="CV89" s="13">
        <v>91</v>
      </c>
      <c r="CW89" s="13">
        <v>735</v>
      </c>
      <c r="CX89" s="13">
        <v>527</v>
      </c>
      <c r="CY89" s="13">
        <v>494</v>
      </c>
      <c r="CZ89" s="13">
        <v>16</v>
      </c>
      <c r="DA89" s="13">
        <v>350</v>
      </c>
      <c r="DB89" s="13" t="s">
        <v>545</v>
      </c>
      <c r="DC89" s="32" t="s">
        <v>954</v>
      </c>
    </row>
    <row r="90" spans="1:107" ht="19">
      <c r="A90" s="14" t="s">
        <v>279</v>
      </c>
      <c r="B90" s="14" t="s">
        <v>280</v>
      </c>
      <c r="C90" s="15">
        <v>204</v>
      </c>
      <c r="D90" s="15" t="s">
        <v>545</v>
      </c>
      <c r="E90" s="15" t="s">
        <v>545</v>
      </c>
      <c r="F90" s="15" t="s">
        <v>545</v>
      </c>
      <c r="G90" s="15">
        <v>3</v>
      </c>
      <c r="H90" s="15">
        <v>1</v>
      </c>
      <c r="I90" s="15" t="s">
        <v>545</v>
      </c>
      <c r="J90" s="15">
        <v>47</v>
      </c>
      <c r="K90" s="15">
        <v>85</v>
      </c>
      <c r="L90" s="15">
        <v>3</v>
      </c>
      <c r="M90" s="15">
        <v>9</v>
      </c>
      <c r="N90" s="15">
        <v>12</v>
      </c>
      <c r="O90" s="15">
        <v>76</v>
      </c>
      <c r="P90" s="15">
        <v>292</v>
      </c>
      <c r="Q90" s="15">
        <v>441</v>
      </c>
      <c r="R90" s="15">
        <v>53</v>
      </c>
      <c r="S90" s="15">
        <v>7</v>
      </c>
      <c r="T90" s="15">
        <v>12</v>
      </c>
      <c r="U90" s="15">
        <v>3</v>
      </c>
      <c r="V90" s="15">
        <v>12</v>
      </c>
      <c r="W90" s="15" t="s">
        <v>545</v>
      </c>
      <c r="X90" s="15">
        <v>7</v>
      </c>
      <c r="Y90" s="15">
        <v>30</v>
      </c>
      <c r="Z90" s="15">
        <v>8</v>
      </c>
      <c r="AA90" s="15">
        <v>4</v>
      </c>
      <c r="AB90" s="15">
        <v>16</v>
      </c>
      <c r="AC90" s="15">
        <v>1</v>
      </c>
      <c r="AD90" s="15">
        <v>9</v>
      </c>
      <c r="AE90" s="15">
        <v>13</v>
      </c>
      <c r="AF90" s="15">
        <v>11</v>
      </c>
      <c r="AG90" s="15">
        <v>151</v>
      </c>
      <c r="AH90" s="15">
        <v>16</v>
      </c>
      <c r="AI90" s="15">
        <v>59</v>
      </c>
      <c r="AJ90" s="15">
        <v>37</v>
      </c>
      <c r="AK90" s="15" t="s">
        <v>545</v>
      </c>
      <c r="AL90" s="15" t="s">
        <v>545</v>
      </c>
      <c r="AM90" s="15">
        <v>11</v>
      </c>
      <c r="AN90" s="15">
        <v>221</v>
      </c>
      <c r="AO90" s="15">
        <v>95</v>
      </c>
      <c r="AP90" s="15">
        <v>33</v>
      </c>
      <c r="AQ90" s="15">
        <v>32</v>
      </c>
      <c r="AR90" s="15">
        <v>21</v>
      </c>
      <c r="AS90" s="15">
        <v>43</v>
      </c>
      <c r="AT90" s="15">
        <v>44</v>
      </c>
      <c r="AU90" s="15">
        <v>47</v>
      </c>
      <c r="AV90" s="15">
        <v>215</v>
      </c>
      <c r="AW90" s="15">
        <v>1</v>
      </c>
      <c r="AX90" s="15" t="s">
        <v>545</v>
      </c>
      <c r="AY90" s="15">
        <v>8</v>
      </c>
      <c r="AZ90" s="15">
        <v>160</v>
      </c>
      <c r="BA90" s="15" t="s">
        <v>545</v>
      </c>
      <c r="BB90" s="15">
        <v>1</v>
      </c>
      <c r="BC90" s="15">
        <v>2</v>
      </c>
      <c r="BD90" s="15">
        <v>162</v>
      </c>
      <c r="BE90" s="15" t="s">
        <v>545</v>
      </c>
      <c r="BF90" s="15">
        <v>68</v>
      </c>
      <c r="BG90" s="15">
        <v>409</v>
      </c>
      <c r="BH90" s="15" t="s">
        <v>955</v>
      </c>
      <c r="BI90" s="15">
        <v>907</v>
      </c>
      <c r="BJ90" s="15">
        <v>6</v>
      </c>
      <c r="BK90" s="15">
        <v>236</v>
      </c>
      <c r="BL90" s="15">
        <v>36</v>
      </c>
      <c r="BM90" s="15">
        <v>3</v>
      </c>
      <c r="BN90" s="15">
        <v>80</v>
      </c>
      <c r="BO90" s="15">
        <v>1</v>
      </c>
      <c r="BP90" s="15">
        <v>41</v>
      </c>
      <c r="BQ90" s="15">
        <v>53</v>
      </c>
      <c r="BR90" s="15">
        <v>275</v>
      </c>
      <c r="BS90" s="15" t="s">
        <v>956</v>
      </c>
      <c r="BT90" s="15">
        <v>43</v>
      </c>
      <c r="BU90" s="15">
        <v>669</v>
      </c>
      <c r="BV90" s="15">
        <v>254</v>
      </c>
      <c r="BW90" s="15">
        <v>797</v>
      </c>
      <c r="BX90" s="15" t="s">
        <v>957</v>
      </c>
      <c r="BY90" s="15">
        <v>166</v>
      </c>
      <c r="BZ90" s="15">
        <v>31</v>
      </c>
      <c r="CA90" s="15" t="s">
        <v>545</v>
      </c>
      <c r="CB90" s="15">
        <v>33</v>
      </c>
      <c r="CC90" s="15">
        <v>17</v>
      </c>
      <c r="CD90" s="15">
        <v>110</v>
      </c>
      <c r="CE90" s="15">
        <v>311</v>
      </c>
      <c r="CF90" s="15">
        <v>40</v>
      </c>
      <c r="CG90" s="15">
        <v>777</v>
      </c>
      <c r="CH90" s="15" t="s">
        <v>958</v>
      </c>
      <c r="CI90" s="15" t="s">
        <v>959</v>
      </c>
      <c r="CJ90" s="15" t="s">
        <v>545</v>
      </c>
      <c r="CK90" s="15">
        <v>267</v>
      </c>
      <c r="CL90" s="15">
        <v>71</v>
      </c>
      <c r="CM90" s="15">
        <v>61</v>
      </c>
      <c r="CN90" s="15">
        <v>3</v>
      </c>
      <c r="CO90" s="15">
        <v>6</v>
      </c>
      <c r="CP90" s="15">
        <v>722</v>
      </c>
      <c r="CQ90" s="15">
        <v>872</v>
      </c>
      <c r="CR90" s="15">
        <v>919</v>
      </c>
      <c r="CS90" s="15">
        <v>781</v>
      </c>
      <c r="CT90" s="15">
        <v>166</v>
      </c>
      <c r="CU90" s="15">
        <v>448</v>
      </c>
      <c r="CV90" s="15">
        <v>24</v>
      </c>
      <c r="CW90" s="15">
        <v>5</v>
      </c>
      <c r="CX90" s="15">
        <v>225</v>
      </c>
      <c r="CY90" s="15">
        <v>295</v>
      </c>
      <c r="CZ90" s="15">
        <v>5</v>
      </c>
      <c r="DA90" s="15">
        <v>91</v>
      </c>
      <c r="DB90" s="15" t="s">
        <v>545</v>
      </c>
      <c r="DC90" s="34" t="s">
        <v>960</v>
      </c>
    </row>
    <row r="91" spans="1:107" ht="19">
      <c r="A91" s="9" t="s">
        <v>281</v>
      </c>
      <c r="B91" s="9" t="s">
        <v>282</v>
      </c>
      <c r="C91" s="13">
        <v>382</v>
      </c>
      <c r="D91" s="13" t="s">
        <v>545</v>
      </c>
      <c r="E91" s="13">
        <v>3</v>
      </c>
      <c r="F91" s="13" t="s">
        <v>545</v>
      </c>
      <c r="G91" s="13" t="s">
        <v>545</v>
      </c>
      <c r="H91" s="13" t="s">
        <v>545</v>
      </c>
      <c r="I91" s="13" t="s">
        <v>545</v>
      </c>
      <c r="J91" s="13" t="s">
        <v>545</v>
      </c>
      <c r="K91" s="13" t="s">
        <v>545</v>
      </c>
      <c r="L91" s="13" t="s">
        <v>545</v>
      </c>
      <c r="M91" s="13" t="s">
        <v>545</v>
      </c>
      <c r="N91" s="13" t="s">
        <v>545</v>
      </c>
      <c r="O91" s="13" t="s">
        <v>545</v>
      </c>
      <c r="P91" s="13" t="s">
        <v>545</v>
      </c>
      <c r="Q91" s="13" t="s">
        <v>545</v>
      </c>
      <c r="R91" s="13" t="s">
        <v>545</v>
      </c>
      <c r="S91" s="13" t="s">
        <v>545</v>
      </c>
      <c r="T91" s="13" t="s">
        <v>545</v>
      </c>
      <c r="U91" s="13" t="s">
        <v>545</v>
      </c>
      <c r="V91" s="13" t="s">
        <v>545</v>
      </c>
      <c r="W91" s="13" t="s">
        <v>545</v>
      </c>
      <c r="X91" s="13" t="s">
        <v>545</v>
      </c>
      <c r="Y91" s="13" t="s">
        <v>545</v>
      </c>
      <c r="Z91" s="13" t="s">
        <v>545</v>
      </c>
      <c r="AA91" s="13" t="s">
        <v>545</v>
      </c>
      <c r="AB91" s="13" t="s">
        <v>545</v>
      </c>
      <c r="AC91" s="13" t="s">
        <v>545</v>
      </c>
      <c r="AD91" s="13" t="s">
        <v>545</v>
      </c>
      <c r="AE91" s="13" t="s">
        <v>545</v>
      </c>
      <c r="AF91" s="13" t="s">
        <v>545</v>
      </c>
      <c r="AG91" s="13" t="s">
        <v>545</v>
      </c>
      <c r="AH91" s="13" t="s">
        <v>545</v>
      </c>
      <c r="AI91" s="13" t="s">
        <v>545</v>
      </c>
      <c r="AJ91" s="13" t="s">
        <v>545</v>
      </c>
      <c r="AK91" s="13" t="s">
        <v>545</v>
      </c>
      <c r="AL91" s="13" t="s">
        <v>545</v>
      </c>
      <c r="AM91" s="13" t="s">
        <v>545</v>
      </c>
      <c r="AN91" s="13" t="s">
        <v>545</v>
      </c>
      <c r="AO91" s="13" t="s">
        <v>545</v>
      </c>
      <c r="AP91" s="13" t="s">
        <v>545</v>
      </c>
      <c r="AQ91" s="13" t="s">
        <v>545</v>
      </c>
      <c r="AR91" s="13" t="s">
        <v>545</v>
      </c>
      <c r="AS91" s="13" t="s">
        <v>545</v>
      </c>
      <c r="AT91" s="13" t="s">
        <v>545</v>
      </c>
      <c r="AU91" s="13" t="s">
        <v>545</v>
      </c>
      <c r="AV91" s="13" t="s">
        <v>545</v>
      </c>
      <c r="AW91" s="13" t="s">
        <v>545</v>
      </c>
      <c r="AX91" s="13" t="s">
        <v>545</v>
      </c>
      <c r="AY91" s="13" t="s">
        <v>545</v>
      </c>
      <c r="AZ91" s="13" t="s">
        <v>545</v>
      </c>
      <c r="BA91" s="13" t="s">
        <v>545</v>
      </c>
      <c r="BB91" s="13" t="s">
        <v>545</v>
      </c>
      <c r="BC91" s="13" t="s">
        <v>545</v>
      </c>
      <c r="BD91" s="13" t="s">
        <v>545</v>
      </c>
      <c r="BE91" s="13" t="s">
        <v>545</v>
      </c>
      <c r="BF91" s="13" t="s">
        <v>545</v>
      </c>
      <c r="BG91" s="13" t="s">
        <v>545</v>
      </c>
      <c r="BH91" s="13" t="s">
        <v>545</v>
      </c>
      <c r="BI91" s="13" t="s">
        <v>545</v>
      </c>
      <c r="BJ91" s="13" t="s">
        <v>545</v>
      </c>
      <c r="BK91" s="13" t="s">
        <v>545</v>
      </c>
      <c r="BL91" s="13" t="s">
        <v>545</v>
      </c>
      <c r="BM91" s="13" t="s">
        <v>545</v>
      </c>
      <c r="BN91" s="13" t="s">
        <v>545</v>
      </c>
      <c r="BO91" s="13" t="s">
        <v>545</v>
      </c>
      <c r="BP91" s="13" t="s">
        <v>545</v>
      </c>
      <c r="BQ91" s="13" t="s">
        <v>545</v>
      </c>
      <c r="BR91" s="13" t="s">
        <v>545</v>
      </c>
      <c r="BS91" s="13">
        <v>2</v>
      </c>
      <c r="BT91" s="13" t="s">
        <v>545</v>
      </c>
      <c r="BU91" s="13" t="s">
        <v>545</v>
      </c>
      <c r="BV91" s="13" t="s">
        <v>545</v>
      </c>
      <c r="BW91" s="13" t="s">
        <v>545</v>
      </c>
      <c r="BX91" s="13" t="s">
        <v>545</v>
      </c>
      <c r="BY91" s="13" t="s">
        <v>545</v>
      </c>
      <c r="BZ91" s="13">
        <v>4</v>
      </c>
      <c r="CA91" s="13" t="s">
        <v>545</v>
      </c>
      <c r="CB91" s="13" t="s">
        <v>545</v>
      </c>
      <c r="CC91" s="13" t="s">
        <v>545</v>
      </c>
      <c r="CD91" s="13" t="s">
        <v>545</v>
      </c>
      <c r="CE91" s="13" t="s">
        <v>545</v>
      </c>
      <c r="CF91" s="13" t="s">
        <v>545</v>
      </c>
      <c r="CG91" s="13" t="s">
        <v>545</v>
      </c>
      <c r="CH91" s="13" t="s">
        <v>545</v>
      </c>
      <c r="CI91" s="13" t="s">
        <v>545</v>
      </c>
      <c r="CJ91" s="13">
        <v>148</v>
      </c>
      <c r="CK91" s="13" t="s">
        <v>545</v>
      </c>
      <c r="CL91" s="13" t="s">
        <v>545</v>
      </c>
      <c r="CM91" s="13" t="s">
        <v>545</v>
      </c>
      <c r="CN91" s="13" t="s">
        <v>545</v>
      </c>
      <c r="CO91" s="13" t="s">
        <v>545</v>
      </c>
      <c r="CP91" s="13" t="s">
        <v>545</v>
      </c>
      <c r="CQ91" s="13">
        <v>4</v>
      </c>
      <c r="CR91" s="13" t="s">
        <v>545</v>
      </c>
      <c r="CS91" s="13" t="s">
        <v>545</v>
      </c>
      <c r="CT91" s="13" t="s">
        <v>545</v>
      </c>
      <c r="CU91" s="13" t="s">
        <v>545</v>
      </c>
      <c r="CV91" s="13" t="s">
        <v>545</v>
      </c>
      <c r="CW91" s="13" t="s">
        <v>545</v>
      </c>
      <c r="CX91" s="13" t="s">
        <v>545</v>
      </c>
      <c r="CY91" s="13" t="s">
        <v>545</v>
      </c>
      <c r="CZ91" s="13" t="s">
        <v>545</v>
      </c>
      <c r="DA91" s="13" t="s">
        <v>545</v>
      </c>
      <c r="DB91" s="13" t="s">
        <v>545</v>
      </c>
      <c r="DC91" s="32">
        <v>543</v>
      </c>
    </row>
    <row r="92" spans="1:107" ht="19">
      <c r="A92" s="9" t="s">
        <v>283</v>
      </c>
      <c r="B92" s="9" t="s">
        <v>284</v>
      </c>
      <c r="C92" s="13">
        <v>452</v>
      </c>
      <c r="D92" s="13">
        <v>27</v>
      </c>
      <c r="E92" s="13">
        <v>48</v>
      </c>
      <c r="F92" s="13">
        <v>3</v>
      </c>
      <c r="G92" s="13">
        <v>230</v>
      </c>
      <c r="H92" s="13">
        <v>157</v>
      </c>
      <c r="I92" s="13">
        <v>125</v>
      </c>
      <c r="J92" s="13">
        <v>74</v>
      </c>
      <c r="K92" s="13">
        <v>44</v>
      </c>
      <c r="L92" s="13">
        <v>7</v>
      </c>
      <c r="M92" s="13">
        <v>54</v>
      </c>
      <c r="N92" s="13">
        <v>19</v>
      </c>
      <c r="O92" s="13">
        <v>54</v>
      </c>
      <c r="P92" s="13">
        <v>68</v>
      </c>
      <c r="Q92" s="13">
        <v>37</v>
      </c>
      <c r="R92" s="13">
        <v>314</v>
      </c>
      <c r="S92" s="13">
        <v>40</v>
      </c>
      <c r="T92" s="13">
        <v>13</v>
      </c>
      <c r="U92" s="13">
        <v>5</v>
      </c>
      <c r="V92" s="13">
        <v>2</v>
      </c>
      <c r="W92" s="13">
        <v>79</v>
      </c>
      <c r="X92" s="13">
        <v>74</v>
      </c>
      <c r="Y92" s="13">
        <v>27</v>
      </c>
      <c r="Z92" s="13">
        <v>16</v>
      </c>
      <c r="AA92" s="13">
        <v>31</v>
      </c>
      <c r="AB92" s="13">
        <v>20</v>
      </c>
      <c r="AC92" s="13">
        <v>17</v>
      </c>
      <c r="AD92" s="13">
        <v>18</v>
      </c>
      <c r="AE92" s="13">
        <v>30</v>
      </c>
      <c r="AF92" s="13">
        <v>12</v>
      </c>
      <c r="AG92" s="13" t="s">
        <v>961</v>
      </c>
      <c r="AH92" s="13">
        <v>97</v>
      </c>
      <c r="AI92" s="13">
        <v>79</v>
      </c>
      <c r="AJ92" s="13">
        <v>63</v>
      </c>
      <c r="AK92" s="13">
        <v>88</v>
      </c>
      <c r="AL92" s="13">
        <v>15</v>
      </c>
      <c r="AM92" s="13">
        <v>264</v>
      </c>
      <c r="AN92" s="13">
        <v>46</v>
      </c>
      <c r="AO92" s="13">
        <v>56</v>
      </c>
      <c r="AP92" s="13">
        <v>110</v>
      </c>
      <c r="AQ92" s="13">
        <v>100</v>
      </c>
      <c r="AR92" s="13">
        <v>46</v>
      </c>
      <c r="AS92" s="13">
        <v>32</v>
      </c>
      <c r="AT92" s="13">
        <v>16</v>
      </c>
      <c r="AU92" s="13">
        <v>42</v>
      </c>
      <c r="AV92" s="13">
        <v>36</v>
      </c>
      <c r="AW92" s="13">
        <v>5</v>
      </c>
      <c r="AX92" s="13">
        <v>66</v>
      </c>
      <c r="AY92" s="13">
        <v>147</v>
      </c>
      <c r="AZ92" s="13">
        <v>202</v>
      </c>
      <c r="BA92" s="13">
        <v>85</v>
      </c>
      <c r="BB92" s="13">
        <v>82</v>
      </c>
      <c r="BC92" s="13">
        <v>60</v>
      </c>
      <c r="BD92" s="13">
        <v>712</v>
      </c>
      <c r="BE92" s="13">
        <v>112</v>
      </c>
      <c r="BF92" s="13" t="s">
        <v>962</v>
      </c>
      <c r="BG92" s="13">
        <v>567</v>
      </c>
      <c r="BH92" s="13" t="s">
        <v>963</v>
      </c>
      <c r="BI92" s="13">
        <v>957</v>
      </c>
      <c r="BJ92" s="13" t="s">
        <v>964</v>
      </c>
      <c r="BK92" s="13" t="s">
        <v>965</v>
      </c>
      <c r="BL92" s="13">
        <v>700</v>
      </c>
      <c r="BM92" s="13" t="s">
        <v>966</v>
      </c>
      <c r="BN92" s="13" t="s">
        <v>967</v>
      </c>
      <c r="BO92" s="13">
        <v>546</v>
      </c>
      <c r="BP92" s="13">
        <v>99</v>
      </c>
      <c r="BQ92" s="13">
        <v>359</v>
      </c>
      <c r="BR92" s="13">
        <v>35</v>
      </c>
      <c r="BS92" s="13">
        <v>566</v>
      </c>
      <c r="BT92" s="13">
        <v>400</v>
      </c>
      <c r="BU92" s="13">
        <v>882</v>
      </c>
      <c r="BV92" s="13">
        <v>58</v>
      </c>
      <c r="BW92" s="13">
        <v>145</v>
      </c>
      <c r="BX92" s="13">
        <v>69</v>
      </c>
      <c r="BY92" s="13">
        <v>177</v>
      </c>
      <c r="BZ92" s="13">
        <v>350</v>
      </c>
      <c r="CA92" s="13" t="s">
        <v>968</v>
      </c>
      <c r="CB92" s="13">
        <v>167</v>
      </c>
      <c r="CC92" s="13">
        <v>150</v>
      </c>
      <c r="CD92" s="13">
        <v>66</v>
      </c>
      <c r="CE92" s="13">
        <v>656</v>
      </c>
      <c r="CF92" s="13">
        <v>773</v>
      </c>
      <c r="CG92" s="13">
        <v>37</v>
      </c>
      <c r="CH92" s="13">
        <v>53</v>
      </c>
      <c r="CI92" s="13">
        <v>125</v>
      </c>
      <c r="CJ92" s="13">
        <v>18</v>
      </c>
      <c r="CK92" s="13" t="s">
        <v>969</v>
      </c>
      <c r="CL92" s="13">
        <v>196</v>
      </c>
      <c r="CM92" s="13">
        <v>121</v>
      </c>
      <c r="CN92" s="13">
        <v>45</v>
      </c>
      <c r="CO92" s="13">
        <v>440</v>
      </c>
      <c r="CP92" s="13">
        <v>274</v>
      </c>
      <c r="CQ92" s="13">
        <v>263</v>
      </c>
      <c r="CR92" s="13" t="s">
        <v>970</v>
      </c>
      <c r="CS92" s="13" t="s">
        <v>971</v>
      </c>
      <c r="CT92" s="13">
        <v>390</v>
      </c>
      <c r="CU92" s="13">
        <v>108</v>
      </c>
      <c r="CV92" s="13">
        <v>24</v>
      </c>
      <c r="CW92" s="13">
        <v>77</v>
      </c>
      <c r="CX92" s="13">
        <v>290</v>
      </c>
      <c r="CY92" s="13">
        <v>63</v>
      </c>
      <c r="CZ92" s="13">
        <v>25</v>
      </c>
      <c r="DA92" s="13">
        <v>129</v>
      </c>
      <c r="DB92" s="13" t="s">
        <v>545</v>
      </c>
      <c r="DC92" s="32" t="s">
        <v>972</v>
      </c>
    </row>
    <row r="93" spans="1:107" ht="19">
      <c r="A93" s="9" t="s">
        <v>285</v>
      </c>
      <c r="B93" s="9" t="s">
        <v>286</v>
      </c>
      <c r="C93" s="13">
        <v>170</v>
      </c>
      <c r="D93" s="13">
        <v>3</v>
      </c>
      <c r="E93" s="13">
        <v>7</v>
      </c>
      <c r="F93" s="13" t="s">
        <v>545</v>
      </c>
      <c r="G93" s="13">
        <v>282</v>
      </c>
      <c r="H93" s="13">
        <v>20</v>
      </c>
      <c r="I93" s="13">
        <v>50</v>
      </c>
      <c r="J93" s="13">
        <v>306</v>
      </c>
      <c r="K93" s="13">
        <v>241</v>
      </c>
      <c r="L93" s="13">
        <v>13</v>
      </c>
      <c r="M93" s="13">
        <v>45</v>
      </c>
      <c r="N93" s="13">
        <v>31</v>
      </c>
      <c r="O93" s="13">
        <v>259</v>
      </c>
      <c r="P93" s="13">
        <v>342</v>
      </c>
      <c r="Q93" s="13">
        <v>44</v>
      </c>
      <c r="R93" s="13">
        <v>78</v>
      </c>
      <c r="S93" s="13">
        <v>34</v>
      </c>
      <c r="T93" s="13">
        <v>30</v>
      </c>
      <c r="U93" s="13">
        <v>6</v>
      </c>
      <c r="V93" s="13">
        <v>5</v>
      </c>
      <c r="W93" s="13">
        <v>36</v>
      </c>
      <c r="X93" s="13">
        <v>55</v>
      </c>
      <c r="Y93" s="13">
        <v>63</v>
      </c>
      <c r="Z93" s="13">
        <v>41</v>
      </c>
      <c r="AA93" s="13">
        <v>34</v>
      </c>
      <c r="AB93" s="13">
        <v>52</v>
      </c>
      <c r="AC93" s="13">
        <v>13</v>
      </c>
      <c r="AD93" s="13">
        <v>19</v>
      </c>
      <c r="AE93" s="13">
        <v>46</v>
      </c>
      <c r="AF93" s="13">
        <v>23</v>
      </c>
      <c r="AG93" s="13">
        <v>230</v>
      </c>
      <c r="AH93" s="13">
        <v>161</v>
      </c>
      <c r="AI93" s="13">
        <v>134</v>
      </c>
      <c r="AJ93" s="13">
        <v>24</v>
      </c>
      <c r="AK93" s="13">
        <v>15</v>
      </c>
      <c r="AL93" s="13">
        <v>31</v>
      </c>
      <c r="AM93" s="13">
        <v>546</v>
      </c>
      <c r="AN93" s="13">
        <v>101</v>
      </c>
      <c r="AO93" s="13">
        <v>92</v>
      </c>
      <c r="AP93" s="13">
        <v>386</v>
      </c>
      <c r="AQ93" s="13">
        <v>430</v>
      </c>
      <c r="AR93" s="13">
        <v>250</v>
      </c>
      <c r="AS93" s="13">
        <v>115</v>
      </c>
      <c r="AT93" s="13">
        <v>45</v>
      </c>
      <c r="AU93" s="13">
        <v>104</v>
      </c>
      <c r="AV93" s="13">
        <v>108</v>
      </c>
      <c r="AW93" s="13">
        <v>26</v>
      </c>
      <c r="AX93" s="13">
        <v>15</v>
      </c>
      <c r="AY93" s="13">
        <v>87</v>
      </c>
      <c r="AZ93" s="13">
        <v>436</v>
      </c>
      <c r="BA93" s="13">
        <v>31</v>
      </c>
      <c r="BB93" s="13">
        <v>98</v>
      </c>
      <c r="BC93" s="13">
        <v>79</v>
      </c>
      <c r="BD93" s="13">
        <v>309</v>
      </c>
      <c r="BE93" s="13">
        <v>10</v>
      </c>
      <c r="BF93" s="13" t="s">
        <v>973</v>
      </c>
      <c r="BG93" s="13">
        <v>238</v>
      </c>
      <c r="BH93" s="13" t="s">
        <v>974</v>
      </c>
      <c r="BI93" s="13" t="s">
        <v>975</v>
      </c>
      <c r="BJ93" s="13">
        <v>104</v>
      </c>
      <c r="BK93" s="13" t="s">
        <v>976</v>
      </c>
      <c r="BL93" s="13">
        <v>765</v>
      </c>
      <c r="BM93" s="13">
        <v>22</v>
      </c>
      <c r="BN93" s="13" t="s">
        <v>977</v>
      </c>
      <c r="BO93" s="13">
        <v>523</v>
      </c>
      <c r="BP93" s="13">
        <v>384</v>
      </c>
      <c r="BQ93" s="13">
        <v>396</v>
      </c>
      <c r="BR93" s="13">
        <v>150</v>
      </c>
      <c r="BS93" s="13">
        <v>162</v>
      </c>
      <c r="BT93" s="13">
        <v>299</v>
      </c>
      <c r="BU93" s="13" t="s">
        <v>978</v>
      </c>
      <c r="BV93" s="13">
        <v>104</v>
      </c>
      <c r="BW93" s="13" t="s">
        <v>979</v>
      </c>
      <c r="BX93" s="13">
        <v>521</v>
      </c>
      <c r="BY93" s="13">
        <v>509</v>
      </c>
      <c r="BZ93" s="13">
        <v>561</v>
      </c>
      <c r="CA93" s="13" t="s">
        <v>545</v>
      </c>
      <c r="CB93" s="13">
        <v>278</v>
      </c>
      <c r="CC93" s="13">
        <v>472</v>
      </c>
      <c r="CD93" s="13">
        <v>396</v>
      </c>
      <c r="CE93" s="13">
        <v>427</v>
      </c>
      <c r="CF93" s="13">
        <v>463</v>
      </c>
      <c r="CG93" s="13">
        <v>247</v>
      </c>
      <c r="CH93" s="13">
        <v>669</v>
      </c>
      <c r="CI93" s="13">
        <v>209</v>
      </c>
      <c r="CJ93" s="13">
        <v>15</v>
      </c>
      <c r="CK93" s="13">
        <v>130</v>
      </c>
      <c r="CL93" s="13" t="s">
        <v>980</v>
      </c>
      <c r="CM93" s="13">
        <v>197</v>
      </c>
      <c r="CN93" s="13">
        <v>85</v>
      </c>
      <c r="CO93" s="13">
        <v>313</v>
      </c>
      <c r="CP93" s="13">
        <v>422</v>
      </c>
      <c r="CQ93" s="13" t="s">
        <v>765</v>
      </c>
      <c r="CR93" s="13" t="s">
        <v>981</v>
      </c>
      <c r="CS93" s="13" t="s">
        <v>982</v>
      </c>
      <c r="CT93" s="13" t="s">
        <v>979</v>
      </c>
      <c r="CU93" s="13">
        <v>42</v>
      </c>
      <c r="CV93" s="13">
        <v>50</v>
      </c>
      <c r="CW93" s="13">
        <v>22</v>
      </c>
      <c r="CX93" s="13">
        <v>189</v>
      </c>
      <c r="CY93" s="13">
        <v>99</v>
      </c>
      <c r="CZ93" s="13">
        <v>83</v>
      </c>
      <c r="DA93" s="13">
        <v>289</v>
      </c>
      <c r="DB93" s="13" t="s">
        <v>545</v>
      </c>
      <c r="DC93" s="32" t="s">
        <v>983</v>
      </c>
    </row>
    <row r="94" spans="1:107" ht="19">
      <c r="A94" s="9" t="s">
        <v>287</v>
      </c>
      <c r="B94" s="9" t="s">
        <v>288</v>
      </c>
      <c r="C94" s="13" t="s">
        <v>545</v>
      </c>
      <c r="D94" s="13" t="s">
        <v>545</v>
      </c>
      <c r="E94" s="13" t="s">
        <v>545</v>
      </c>
      <c r="F94" s="13" t="s">
        <v>545</v>
      </c>
      <c r="G94" s="13" t="s">
        <v>545</v>
      </c>
      <c r="H94" s="13" t="s">
        <v>545</v>
      </c>
      <c r="I94" s="13" t="s">
        <v>545</v>
      </c>
      <c r="J94" s="13" t="s">
        <v>545</v>
      </c>
      <c r="K94" s="13" t="s">
        <v>545</v>
      </c>
      <c r="L94" s="13" t="s">
        <v>545</v>
      </c>
      <c r="M94" s="13" t="s">
        <v>545</v>
      </c>
      <c r="N94" s="13" t="s">
        <v>545</v>
      </c>
      <c r="O94" s="13" t="s">
        <v>545</v>
      </c>
      <c r="P94" s="13" t="s">
        <v>545</v>
      </c>
      <c r="Q94" s="13" t="s">
        <v>545</v>
      </c>
      <c r="R94" s="13" t="s">
        <v>545</v>
      </c>
      <c r="S94" s="13" t="s">
        <v>545</v>
      </c>
      <c r="T94" s="13" t="s">
        <v>545</v>
      </c>
      <c r="U94" s="13" t="s">
        <v>545</v>
      </c>
      <c r="V94" s="13" t="s">
        <v>545</v>
      </c>
      <c r="W94" s="13" t="s">
        <v>545</v>
      </c>
      <c r="X94" s="13" t="s">
        <v>545</v>
      </c>
      <c r="Y94" s="13" t="s">
        <v>545</v>
      </c>
      <c r="Z94" s="13" t="s">
        <v>545</v>
      </c>
      <c r="AA94" s="13" t="s">
        <v>545</v>
      </c>
      <c r="AB94" s="13" t="s">
        <v>545</v>
      </c>
      <c r="AC94" s="13" t="s">
        <v>545</v>
      </c>
      <c r="AD94" s="13" t="s">
        <v>545</v>
      </c>
      <c r="AE94" s="13" t="s">
        <v>545</v>
      </c>
      <c r="AF94" s="13" t="s">
        <v>545</v>
      </c>
      <c r="AG94" s="13" t="s">
        <v>545</v>
      </c>
      <c r="AH94" s="13" t="s">
        <v>545</v>
      </c>
      <c r="AI94" s="13" t="s">
        <v>545</v>
      </c>
      <c r="AJ94" s="13" t="s">
        <v>545</v>
      </c>
      <c r="AK94" s="13" t="s">
        <v>545</v>
      </c>
      <c r="AL94" s="13" t="s">
        <v>545</v>
      </c>
      <c r="AM94" s="13" t="s">
        <v>545</v>
      </c>
      <c r="AN94" s="13" t="s">
        <v>545</v>
      </c>
      <c r="AO94" s="13" t="s">
        <v>545</v>
      </c>
      <c r="AP94" s="13" t="s">
        <v>545</v>
      </c>
      <c r="AQ94" s="13">
        <v>78</v>
      </c>
      <c r="AR94" s="13" t="s">
        <v>545</v>
      </c>
      <c r="AS94" s="13">
        <v>35</v>
      </c>
      <c r="AT94" s="13" t="s">
        <v>545</v>
      </c>
      <c r="AU94" s="13" t="s">
        <v>545</v>
      </c>
      <c r="AV94" s="13" t="s">
        <v>545</v>
      </c>
      <c r="AW94" s="13" t="s">
        <v>545</v>
      </c>
      <c r="AX94" s="13" t="s">
        <v>545</v>
      </c>
      <c r="AY94" s="13">
        <v>8</v>
      </c>
      <c r="AZ94" s="13">
        <v>9</v>
      </c>
      <c r="BA94" s="13" t="s">
        <v>545</v>
      </c>
      <c r="BB94" s="13" t="s">
        <v>545</v>
      </c>
      <c r="BC94" s="13" t="s">
        <v>545</v>
      </c>
      <c r="BD94" s="13" t="s">
        <v>545</v>
      </c>
      <c r="BE94" s="13" t="s">
        <v>545</v>
      </c>
      <c r="BF94" s="13" t="s">
        <v>545</v>
      </c>
      <c r="BG94" s="13">
        <v>6</v>
      </c>
      <c r="BH94" s="13" t="s">
        <v>545</v>
      </c>
      <c r="BI94" s="13">
        <v>22</v>
      </c>
      <c r="BJ94" s="13">
        <v>7</v>
      </c>
      <c r="BK94" s="13">
        <v>9</v>
      </c>
      <c r="BL94" s="13" t="s">
        <v>866</v>
      </c>
      <c r="BM94" s="13">
        <v>97</v>
      </c>
      <c r="BN94" s="13">
        <v>76</v>
      </c>
      <c r="BO94" s="13" t="s">
        <v>545</v>
      </c>
      <c r="BP94" s="13">
        <v>893</v>
      </c>
      <c r="BQ94" s="13">
        <v>30</v>
      </c>
      <c r="BR94" s="13" t="s">
        <v>545</v>
      </c>
      <c r="BS94" s="13">
        <v>44</v>
      </c>
      <c r="BT94" s="13">
        <v>29</v>
      </c>
      <c r="BU94" s="13" t="s">
        <v>545</v>
      </c>
      <c r="BV94" s="13" t="s">
        <v>545</v>
      </c>
      <c r="BW94" s="13">
        <v>782</v>
      </c>
      <c r="BX94" s="13" t="s">
        <v>545</v>
      </c>
      <c r="BY94" s="13">
        <v>477</v>
      </c>
      <c r="BZ94" s="13">
        <v>6</v>
      </c>
      <c r="CA94" s="13" t="s">
        <v>545</v>
      </c>
      <c r="CB94" s="13">
        <v>17</v>
      </c>
      <c r="CC94" s="13" t="s">
        <v>545</v>
      </c>
      <c r="CD94" s="13">
        <v>16</v>
      </c>
      <c r="CE94" s="13">
        <v>224</v>
      </c>
      <c r="CF94" s="13" t="s">
        <v>545</v>
      </c>
      <c r="CG94" s="13" t="s">
        <v>545</v>
      </c>
      <c r="CH94" s="13" t="s">
        <v>545</v>
      </c>
      <c r="CI94" s="13" t="s">
        <v>545</v>
      </c>
      <c r="CJ94" s="13" t="s">
        <v>545</v>
      </c>
      <c r="CK94" s="13" t="s">
        <v>545</v>
      </c>
      <c r="CL94" s="13">
        <v>43</v>
      </c>
      <c r="CM94" s="13" t="s">
        <v>984</v>
      </c>
      <c r="CN94" s="13" t="s">
        <v>545</v>
      </c>
      <c r="CO94" s="13" t="s">
        <v>545</v>
      </c>
      <c r="CP94" s="13" t="s">
        <v>545</v>
      </c>
      <c r="CQ94" s="13">
        <v>312</v>
      </c>
      <c r="CR94" s="13">
        <v>95</v>
      </c>
      <c r="CS94" s="13">
        <v>85</v>
      </c>
      <c r="CT94" s="13" t="s">
        <v>545</v>
      </c>
      <c r="CU94" s="13" t="s">
        <v>545</v>
      </c>
      <c r="CV94" s="13" t="s">
        <v>545</v>
      </c>
      <c r="CW94" s="13" t="s">
        <v>545</v>
      </c>
      <c r="CX94" s="13" t="s">
        <v>545</v>
      </c>
      <c r="CY94" s="13" t="s">
        <v>545</v>
      </c>
      <c r="CZ94" s="13" t="s">
        <v>545</v>
      </c>
      <c r="DA94" s="13" t="s">
        <v>545</v>
      </c>
      <c r="DB94" s="13" t="s">
        <v>545</v>
      </c>
      <c r="DC94" s="32" t="s">
        <v>985</v>
      </c>
    </row>
    <row r="95" spans="1:107" ht="19">
      <c r="A95" s="9" t="s">
        <v>289</v>
      </c>
      <c r="B95" s="9" t="s">
        <v>290</v>
      </c>
      <c r="C95" s="13" t="s">
        <v>545</v>
      </c>
      <c r="D95" s="13" t="s">
        <v>545</v>
      </c>
      <c r="E95" s="13" t="s">
        <v>545</v>
      </c>
      <c r="F95" s="13" t="s">
        <v>545</v>
      </c>
      <c r="G95" s="13" t="s">
        <v>545</v>
      </c>
      <c r="H95" s="13" t="s">
        <v>545</v>
      </c>
      <c r="I95" s="13" t="s">
        <v>545</v>
      </c>
      <c r="J95" s="13" t="s">
        <v>545</v>
      </c>
      <c r="K95" s="13" t="s">
        <v>545</v>
      </c>
      <c r="L95" s="13" t="s">
        <v>545</v>
      </c>
      <c r="M95" s="13" t="s">
        <v>545</v>
      </c>
      <c r="N95" s="13" t="s">
        <v>545</v>
      </c>
      <c r="O95" s="13" t="s">
        <v>545</v>
      </c>
      <c r="P95" s="13" t="s">
        <v>545</v>
      </c>
      <c r="Q95" s="13" t="s">
        <v>545</v>
      </c>
      <c r="R95" s="13" t="s">
        <v>545</v>
      </c>
      <c r="S95" s="13" t="s">
        <v>545</v>
      </c>
      <c r="T95" s="13" t="s">
        <v>545</v>
      </c>
      <c r="U95" s="13" t="s">
        <v>545</v>
      </c>
      <c r="V95" s="13" t="s">
        <v>545</v>
      </c>
      <c r="W95" s="13" t="s">
        <v>545</v>
      </c>
      <c r="X95" s="13" t="s">
        <v>545</v>
      </c>
      <c r="Y95" s="13" t="s">
        <v>545</v>
      </c>
      <c r="Z95" s="13" t="s">
        <v>545</v>
      </c>
      <c r="AA95" s="13" t="s">
        <v>545</v>
      </c>
      <c r="AB95" s="13" t="s">
        <v>545</v>
      </c>
      <c r="AC95" s="13" t="s">
        <v>545</v>
      </c>
      <c r="AD95" s="13" t="s">
        <v>545</v>
      </c>
      <c r="AE95" s="13" t="s">
        <v>545</v>
      </c>
      <c r="AF95" s="13" t="s">
        <v>545</v>
      </c>
      <c r="AG95" s="13" t="s">
        <v>545</v>
      </c>
      <c r="AH95" s="13" t="s">
        <v>545</v>
      </c>
      <c r="AI95" s="13" t="s">
        <v>545</v>
      </c>
      <c r="AJ95" s="13" t="s">
        <v>545</v>
      </c>
      <c r="AK95" s="13" t="s">
        <v>545</v>
      </c>
      <c r="AL95" s="13" t="s">
        <v>545</v>
      </c>
      <c r="AM95" s="13" t="s">
        <v>545</v>
      </c>
      <c r="AN95" s="13" t="s">
        <v>545</v>
      </c>
      <c r="AO95" s="13" t="s">
        <v>545</v>
      </c>
      <c r="AP95" s="13" t="s">
        <v>545</v>
      </c>
      <c r="AQ95" s="13" t="s">
        <v>545</v>
      </c>
      <c r="AR95" s="13" t="s">
        <v>545</v>
      </c>
      <c r="AS95" s="13" t="s">
        <v>545</v>
      </c>
      <c r="AT95" s="13" t="s">
        <v>545</v>
      </c>
      <c r="AU95" s="13" t="s">
        <v>545</v>
      </c>
      <c r="AV95" s="13" t="s">
        <v>545</v>
      </c>
      <c r="AW95" s="13" t="s">
        <v>545</v>
      </c>
      <c r="AX95" s="13" t="s">
        <v>545</v>
      </c>
      <c r="AY95" s="13" t="s">
        <v>545</v>
      </c>
      <c r="AZ95" s="13" t="s">
        <v>545</v>
      </c>
      <c r="BA95" s="13" t="s">
        <v>545</v>
      </c>
      <c r="BB95" s="13" t="s">
        <v>545</v>
      </c>
      <c r="BC95" s="13">
        <v>3</v>
      </c>
      <c r="BD95" s="13">
        <v>158</v>
      </c>
      <c r="BE95" s="13" t="s">
        <v>545</v>
      </c>
      <c r="BF95" s="13" t="s">
        <v>986</v>
      </c>
      <c r="BG95" s="13" t="s">
        <v>545</v>
      </c>
      <c r="BH95" s="13" t="s">
        <v>545</v>
      </c>
      <c r="BI95" s="13" t="s">
        <v>545</v>
      </c>
      <c r="BJ95" s="13">
        <v>1</v>
      </c>
      <c r="BK95" s="13" t="s">
        <v>545</v>
      </c>
      <c r="BL95" s="13" t="s">
        <v>545</v>
      </c>
      <c r="BM95" s="13">
        <v>20</v>
      </c>
      <c r="BN95" s="13">
        <v>8</v>
      </c>
      <c r="BO95" s="13">
        <v>18</v>
      </c>
      <c r="BP95" s="13" t="s">
        <v>545</v>
      </c>
      <c r="BQ95" s="13" t="s">
        <v>545</v>
      </c>
      <c r="BR95" s="13" t="s">
        <v>545</v>
      </c>
      <c r="BS95" s="13">
        <v>60</v>
      </c>
      <c r="BT95" s="13" t="s">
        <v>545</v>
      </c>
      <c r="BU95" s="13">
        <v>12</v>
      </c>
      <c r="BV95" s="13">
        <v>50</v>
      </c>
      <c r="BW95" s="13" t="s">
        <v>987</v>
      </c>
      <c r="BX95" s="13">
        <v>7</v>
      </c>
      <c r="BY95" s="13">
        <v>32</v>
      </c>
      <c r="BZ95" s="13">
        <v>120</v>
      </c>
      <c r="CA95" s="13">
        <v>15</v>
      </c>
      <c r="CB95" s="13" t="s">
        <v>545</v>
      </c>
      <c r="CC95" s="13" t="s">
        <v>545</v>
      </c>
      <c r="CD95" s="13" t="s">
        <v>545</v>
      </c>
      <c r="CE95" s="13" t="s">
        <v>545</v>
      </c>
      <c r="CF95" s="13" t="s">
        <v>545</v>
      </c>
      <c r="CG95" s="13">
        <v>23</v>
      </c>
      <c r="CH95" s="13" t="s">
        <v>545</v>
      </c>
      <c r="CI95" s="13">
        <v>18</v>
      </c>
      <c r="CJ95" s="13" t="s">
        <v>545</v>
      </c>
      <c r="CK95" s="13" t="s">
        <v>545</v>
      </c>
      <c r="CL95" s="13" t="s">
        <v>545</v>
      </c>
      <c r="CM95" s="13" t="s">
        <v>545</v>
      </c>
      <c r="CN95" s="13" t="s">
        <v>988</v>
      </c>
      <c r="CO95" s="13" t="s">
        <v>545</v>
      </c>
      <c r="CP95" s="13">
        <v>20</v>
      </c>
      <c r="CQ95" s="13">
        <v>744</v>
      </c>
      <c r="CR95" s="13">
        <v>469</v>
      </c>
      <c r="CS95" s="13">
        <v>557</v>
      </c>
      <c r="CT95" s="13">
        <v>299</v>
      </c>
      <c r="CU95" s="13">
        <v>149</v>
      </c>
      <c r="CV95" s="13">
        <v>45</v>
      </c>
      <c r="CW95" s="13" t="s">
        <v>545</v>
      </c>
      <c r="CX95" s="13">
        <v>69</v>
      </c>
      <c r="CY95" s="13" t="s">
        <v>545</v>
      </c>
      <c r="CZ95" s="13">
        <v>3</v>
      </c>
      <c r="DA95" s="13" t="s">
        <v>545</v>
      </c>
      <c r="DB95" s="13" t="s">
        <v>545</v>
      </c>
      <c r="DC95" s="32" t="s">
        <v>989</v>
      </c>
    </row>
    <row r="96" spans="1:107" ht="19">
      <c r="A96" s="9" t="s">
        <v>291</v>
      </c>
      <c r="B96" s="9" t="s">
        <v>292</v>
      </c>
      <c r="C96" s="13" t="s">
        <v>545</v>
      </c>
      <c r="D96" s="13" t="s">
        <v>545</v>
      </c>
      <c r="E96" s="13" t="s">
        <v>545</v>
      </c>
      <c r="F96" s="13" t="s">
        <v>545</v>
      </c>
      <c r="G96" s="13" t="s">
        <v>545</v>
      </c>
      <c r="H96" s="13" t="s">
        <v>545</v>
      </c>
      <c r="I96" s="13" t="s">
        <v>545</v>
      </c>
      <c r="J96" s="13" t="s">
        <v>545</v>
      </c>
      <c r="K96" s="13" t="s">
        <v>545</v>
      </c>
      <c r="L96" s="13" t="s">
        <v>545</v>
      </c>
      <c r="M96" s="13" t="s">
        <v>545</v>
      </c>
      <c r="N96" s="13" t="s">
        <v>545</v>
      </c>
      <c r="O96" s="13" t="s">
        <v>545</v>
      </c>
      <c r="P96" s="13" t="s">
        <v>545</v>
      </c>
      <c r="Q96" s="13" t="s">
        <v>545</v>
      </c>
      <c r="R96" s="13" t="s">
        <v>545</v>
      </c>
      <c r="S96" s="13" t="s">
        <v>545</v>
      </c>
      <c r="T96" s="13" t="s">
        <v>545</v>
      </c>
      <c r="U96" s="13" t="s">
        <v>545</v>
      </c>
      <c r="V96" s="13" t="s">
        <v>545</v>
      </c>
      <c r="W96" s="13" t="s">
        <v>545</v>
      </c>
      <c r="X96" s="13" t="s">
        <v>545</v>
      </c>
      <c r="Y96" s="13" t="s">
        <v>545</v>
      </c>
      <c r="Z96" s="13" t="s">
        <v>545</v>
      </c>
      <c r="AA96" s="13" t="s">
        <v>545</v>
      </c>
      <c r="AB96" s="13" t="s">
        <v>545</v>
      </c>
      <c r="AC96" s="13" t="s">
        <v>545</v>
      </c>
      <c r="AD96" s="13" t="s">
        <v>545</v>
      </c>
      <c r="AE96" s="13" t="s">
        <v>545</v>
      </c>
      <c r="AF96" s="13" t="s">
        <v>545</v>
      </c>
      <c r="AG96" s="13" t="s">
        <v>545</v>
      </c>
      <c r="AH96" s="13" t="s">
        <v>545</v>
      </c>
      <c r="AI96" s="13" t="s">
        <v>545</v>
      </c>
      <c r="AJ96" s="13" t="s">
        <v>545</v>
      </c>
      <c r="AK96" s="13" t="s">
        <v>545</v>
      </c>
      <c r="AL96" s="13" t="s">
        <v>545</v>
      </c>
      <c r="AM96" s="13" t="s">
        <v>545</v>
      </c>
      <c r="AN96" s="13" t="s">
        <v>545</v>
      </c>
      <c r="AO96" s="13" t="s">
        <v>545</v>
      </c>
      <c r="AP96" s="13" t="s">
        <v>545</v>
      </c>
      <c r="AQ96" s="13" t="s">
        <v>545</v>
      </c>
      <c r="AR96" s="13" t="s">
        <v>545</v>
      </c>
      <c r="AS96" s="13" t="s">
        <v>545</v>
      </c>
      <c r="AT96" s="13" t="s">
        <v>545</v>
      </c>
      <c r="AU96" s="13" t="s">
        <v>545</v>
      </c>
      <c r="AV96" s="13" t="s">
        <v>545</v>
      </c>
      <c r="AW96" s="13" t="s">
        <v>545</v>
      </c>
      <c r="AX96" s="13" t="s">
        <v>545</v>
      </c>
      <c r="AY96" s="13">
        <v>33</v>
      </c>
      <c r="AZ96" s="13">
        <v>309</v>
      </c>
      <c r="BA96" s="13">
        <v>93</v>
      </c>
      <c r="BB96" s="13" t="s">
        <v>545</v>
      </c>
      <c r="BC96" s="13" t="s">
        <v>545</v>
      </c>
      <c r="BD96" s="13">
        <v>227</v>
      </c>
      <c r="BE96" s="13">
        <v>6</v>
      </c>
      <c r="BF96" s="13">
        <v>789</v>
      </c>
      <c r="BG96" s="13" t="s">
        <v>545</v>
      </c>
      <c r="BH96" s="13" t="s">
        <v>818</v>
      </c>
      <c r="BI96" s="13" t="s">
        <v>545</v>
      </c>
      <c r="BJ96" s="13" t="s">
        <v>545</v>
      </c>
      <c r="BK96" s="13">
        <v>94</v>
      </c>
      <c r="BL96" s="13" t="s">
        <v>545</v>
      </c>
      <c r="BM96" s="13">
        <v>218</v>
      </c>
      <c r="BN96" s="13">
        <v>322</v>
      </c>
      <c r="BO96" s="13">
        <v>20</v>
      </c>
      <c r="BP96" s="13">
        <v>738</v>
      </c>
      <c r="BQ96" s="13">
        <v>474</v>
      </c>
      <c r="BR96" s="13" t="s">
        <v>545</v>
      </c>
      <c r="BS96" s="13">
        <v>190</v>
      </c>
      <c r="BT96" s="13" t="s">
        <v>545</v>
      </c>
      <c r="BU96" s="13">
        <v>859</v>
      </c>
      <c r="BV96" s="13">
        <v>163</v>
      </c>
      <c r="BW96" s="13">
        <v>787</v>
      </c>
      <c r="BX96" s="13">
        <v>192</v>
      </c>
      <c r="BY96" s="13">
        <v>184</v>
      </c>
      <c r="BZ96" s="13" t="s">
        <v>990</v>
      </c>
      <c r="CA96" s="13" t="s">
        <v>991</v>
      </c>
      <c r="CB96" s="13">
        <v>434</v>
      </c>
      <c r="CC96" s="13">
        <v>444</v>
      </c>
      <c r="CD96" s="13" t="s">
        <v>545</v>
      </c>
      <c r="CE96" s="13">
        <v>846</v>
      </c>
      <c r="CF96" s="13">
        <v>171</v>
      </c>
      <c r="CG96" s="13">
        <v>156</v>
      </c>
      <c r="CH96" s="13" t="s">
        <v>545</v>
      </c>
      <c r="CI96" s="13">
        <v>131</v>
      </c>
      <c r="CJ96" s="13">
        <v>13</v>
      </c>
      <c r="CK96" s="13">
        <v>136</v>
      </c>
      <c r="CL96" s="13" t="s">
        <v>545</v>
      </c>
      <c r="CM96" s="13" t="s">
        <v>545</v>
      </c>
      <c r="CN96" s="13">
        <v>67</v>
      </c>
      <c r="CO96" s="13" t="s">
        <v>992</v>
      </c>
      <c r="CP96" s="13">
        <v>43</v>
      </c>
      <c r="CQ96" s="13">
        <v>834</v>
      </c>
      <c r="CR96" s="13" t="s">
        <v>993</v>
      </c>
      <c r="CS96" s="13" t="s">
        <v>994</v>
      </c>
      <c r="CT96" s="13">
        <v>831</v>
      </c>
      <c r="CU96" s="13">
        <v>97</v>
      </c>
      <c r="CV96" s="13">
        <v>219</v>
      </c>
      <c r="CW96" s="13">
        <v>327</v>
      </c>
      <c r="CX96" s="13">
        <v>789</v>
      </c>
      <c r="CY96" s="13">
        <v>466</v>
      </c>
      <c r="CZ96" s="13">
        <v>21</v>
      </c>
      <c r="DA96" s="13">
        <v>73</v>
      </c>
      <c r="DB96" s="13" t="s">
        <v>545</v>
      </c>
      <c r="DC96" s="32" t="s">
        <v>995</v>
      </c>
    </row>
    <row r="97" spans="1:107" ht="19">
      <c r="A97" s="9" t="s">
        <v>293</v>
      </c>
      <c r="B97" s="9" t="s">
        <v>294</v>
      </c>
      <c r="C97" s="13" t="s">
        <v>545</v>
      </c>
      <c r="D97" s="13" t="s">
        <v>545</v>
      </c>
      <c r="E97" s="13" t="s">
        <v>545</v>
      </c>
      <c r="F97" s="13" t="s">
        <v>545</v>
      </c>
      <c r="G97" s="13">
        <v>5</v>
      </c>
      <c r="H97" s="13" t="s">
        <v>545</v>
      </c>
      <c r="I97" s="13">
        <v>309</v>
      </c>
      <c r="J97" s="13" t="s">
        <v>545</v>
      </c>
      <c r="K97" s="13" t="s">
        <v>545</v>
      </c>
      <c r="L97" s="13" t="s">
        <v>545</v>
      </c>
      <c r="M97" s="13">
        <v>3</v>
      </c>
      <c r="N97" s="13">
        <v>2</v>
      </c>
      <c r="O97" s="13" t="s">
        <v>545</v>
      </c>
      <c r="P97" s="13">
        <v>2</v>
      </c>
      <c r="Q97" s="13">
        <v>2</v>
      </c>
      <c r="R97" s="13" t="s">
        <v>545</v>
      </c>
      <c r="S97" s="13" t="s">
        <v>545</v>
      </c>
      <c r="T97" s="13" t="s">
        <v>545</v>
      </c>
      <c r="U97" s="13">
        <v>1</v>
      </c>
      <c r="V97" s="13" t="s">
        <v>545</v>
      </c>
      <c r="W97" s="13" t="s">
        <v>545</v>
      </c>
      <c r="X97" s="13" t="s">
        <v>545</v>
      </c>
      <c r="Y97" s="13" t="s">
        <v>545</v>
      </c>
      <c r="Z97" s="13">
        <v>18</v>
      </c>
      <c r="AA97" s="13">
        <v>1</v>
      </c>
      <c r="AB97" s="13" t="s">
        <v>545</v>
      </c>
      <c r="AC97" s="13" t="s">
        <v>545</v>
      </c>
      <c r="AD97" s="13" t="s">
        <v>545</v>
      </c>
      <c r="AE97" s="13">
        <v>29</v>
      </c>
      <c r="AF97" s="13" t="s">
        <v>545</v>
      </c>
      <c r="AG97" s="13">
        <v>677</v>
      </c>
      <c r="AH97" s="13">
        <v>476</v>
      </c>
      <c r="AI97" s="13">
        <v>2</v>
      </c>
      <c r="AJ97" s="13">
        <v>235</v>
      </c>
      <c r="AK97" s="13" t="s">
        <v>545</v>
      </c>
      <c r="AL97" s="13" t="s">
        <v>545</v>
      </c>
      <c r="AM97" s="13" t="s">
        <v>545</v>
      </c>
      <c r="AN97" s="13">
        <v>20</v>
      </c>
      <c r="AO97" s="13">
        <v>142</v>
      </c>
      <c r="AP97" s="13">
        <v>541</v>
      </c>
      <c r="AQ97" s="13">
        <v>297</v>
      </c>
      <c r="AR97" s="13" t="s">
        <v>545</v>
      </c>
      <c r="AS97" s="13" t="s">
        <v>545</v>
      </c>
      <c r="AT97" s="13">
        <v>8</v>
      </c>
      <c r="AU97" s="13">
        <v>3</v>
      </c>
      <c r="AV97" s="13" t="s">
        <v>545</v>
      </c>
      <c r="AW97" s="13" t="s">
        <v>545</v>
      </c>
      <c r="AX97" s="13" t="s">
        <v>545</v>
      </c>
      <c r="AY97" s="13">
        <v>73</v>
      </c>
      <c r="AZ97" s="13" t="s">
        <v>996</v>
      </c>
      <c r="BA97" s="13">
        <v>115</v>
      </c>
      <c r="BB97" s="13" t="s">
        <v>545</v>
      </c>
      <c r="BC97" s="13" t="s">
        <v>545</v>
      </c>
      <c r="BD97" s="13">
        <v>315</v>
      </c>
      <c r="BE97" s="13">
        <v>9</v>
      </c>
      <c r="BF97" s="13">
        <v>247</v>
      </c>
      <c r="BG97" s="13">
        <v>419</v>
      </c>
      <c r="BH97" s="13" t="s">
        <v>997</v>
      </c>
      <c r="BI97" s="13" t="s">
        <v>998</v>
      </c>
      <c r="BJ97" s="13">
        <v>24</v>
      </c>
      <c r="BK97" s="13">
        <v>351</v>
      </c>
      <c r="BL97" s="13" t="s">
        <v>545</v>
      </c>
      <c r="BM97" s="13">
        <v>46</v>
      </c>
      <c r="BN97" s="13">
        <v>833</v>
      </c>
      <c r="BO97" s="13">
        <v>27</v>
      </c>
      <c r="BP97" s="13">
        <v>135</v>
      </c>
      <c r="BQ97" s="13">
        <v>173</v>
      </c>
      <c r="BR97" s="13">
        <v>6</v>
      </c>
      <c r="BS97" s="13">
        <v>609</v>
      </c>
      <c r="BT97" s="13" t="s">
        <v>781</v>
      </c>
      <c r="BU97" s="13" t="s">
        <v>999</v>
      </c>
      <c r="BV97" s="13">
        <v>257</v>
      </c>
      <c r="BW97" s="13" t="s">
        <v>1000</v>
      </c>
      <c r="BX97" s="13">
        <v>371</v>
      </c>
      <c r="BY97" s="13">
        <v>479</v>
      </c>
      <c r="BZ97" s="13">
        <v>170</v>
      </c>
      <c r="CA97" s="13" t="s">
        <v>545</v>
      </c>
      <c r="CB97" s="13">
        <v>71</v>
      </c>
      <c r="CC97" s="13">
        <v>188</v>
      </c>
      <c r="CD97" s="13">
        <v>277</v>
      </c>
      <c r="CE97" s="13" t="s">
        <v>1001</v>
      </c>
      <c r="CF97" s="13">
        <v>118</v>
      </c>
      <c r="CG97" s="13">
        <v>272</v>
      </c>
      <c r="CH97" s="13">
        <v>175</v>
      </c>
      <c r="CI97" s="13">
        <v>98</v>
      </c>
      <c r="CJ97" s="13">
        <v>46</v>
      </c>
      <c r="CK97" s="13">
        <v>76</v>
      </c>
      <c r="CL97" s="13">
        <v>160</v>
      </c>
      <c r="CM97" s="13">
        <v>309</v>
      </c>
      <c r="CN97" s="13">
        <v>10</v>
      </c>
      <c r="CO97" s="13">
        <v>83</v>
      </c>
      <c r="CP97" s="13" t="s">
        <v>1002</v>
      </c>
      <c r="CQ97" s="13" t="s">
        <v>1003</v>
      </c>
      <c r="CR97" s="13" t="s">
        <v>1004</v>
      </c>
      <c r="CS97" s="13" t="s">
        <v>1005</v>
      </c>
      <c r="CT97" s="13">
        <v>667</v>
      </c>
      <c r="CU97" s="13">
        <v>220</v>
      </c>
      <c r="CV97" s="13">
        <v>41</v>
      </c>
      <c r="CW97" s="13">
        <v>82</v>
      </c>
      <c r="CX97" s="13">
        <v>215</v>
      </c>
      <c r="CY97" s="13">
        <v>245</v>
      </c>
      <c r="CZ97" s="13">
        <v>9</v>
      </c>
      <c r="DA97" s="13">
        <v>156</v>
      </c>
      <c r="DB97" s="13" t="s">
        <v>545</v>
      </c>
      <c r="DC97" s="32" t="s">
        <v>1006</v>
      </c>
    </row>
    <row r="98" spans="1:107" ht="19">
      <c r="A98" s="9" t="s">
        <v>295</v>
      </c>
      <c r="B98" s="9" t="s">
        <v>296</v>
      </c>
      <c r="C98" s="13">
        <v>14</v>
      </c>
      <c r="D98" s="13">
        <v>3</v>
      </c>
      <c r="E98" s="13" t="s">
        <v>545</v>
      </c>
      <c r="F98" s="13">
        <v>1</v>
      </c>
      <c r="G98" s="13" t="s">
        <v>545</v>
      </c>
      <c r="H98" s="13">
        <v>1</v>
      </c>
      <c r="I98" s="13" t="s">
        <v>545</v>
      </c>
      <c r="J98" s="13">
        <v>5</v>
      </c>
      <c r="K98" s="13">
        <v>14</v>
      </c>
      <c r="L98" s="13">
        <v>3</v>
      </c>
      <c r="M98" s="13">
        <v>3</v>
      </c>
      <c r="N98" s="13">
        <v>12</v>
      </c>
      <c r="O98" s="13">
        <v>10</v>
      </c>
      <c r="P98" s="13">
        <v>17</v>
      </c>
      <c r="Q98" s="13">
        <v>8</v>
      </c>
      <c r="R98" s="13">
        <v>45</v>
      </c>
      <c r="S98" s="13">
        <v>7</v>
      </c>
      <c r="T98" s="13">
        <v>15</v>
      </c>
      <c r="U98" s="13">
        <v>5</v>
      </c>
      <c r="V98" s="13">
        <v>6</v>
      </c>
      <c r="W98" s="13" t="s">
        <v>545</v>
      </c>
      <c r="X98" s="13">
        <v>14</v>
      </c>
      <c r="Y98" s="13" t="s">
        <v>545</v>
      </c>
      <c r="Z98" s="13">
        <v>10</v>
      </c>
      <c r="AA98" s="13">
        <v>16</v>
      </c>
      <c r="AB98" s="13">
        <v>16</v>
      </c>
      <c r="AC98" s="13">
        <v>28</v>
      </c>
      <c r="AD98" s="13" t="s">
        <v>545</v>
      </c>
      <c r="AE98" s="13" t="s">
        <v>545</v>
      </c>
      <c r="AF98" s="13">
        <v>10</v>
      </c>
      <c r="AG98" s="13">
        <v>45</v>
      </c>
      <c r="AH98" s="13">
        <v>23</v>
      </c>
      <c r="AI98" s="13">
        <v>2</v>
      </c>
      <c r="AJ98" s="13">
        <v>6</v>
      </c>
      <c r="AK98" s="13">
        <v>8</v>
      </c>
      <c r="AL98" s="13">
        <v>17</v>
      </c>
      <c r="AM98" s="13">
        <v>59</v>
      </c>
      <c r="AN98" s="13">
        <v>10</v>
      </c>
      <c r="AO98" s="13">
        <v>11</v>
      </c>
      <c r="AP98" s="13">
        <v>52</v>
      </c>
      <c r="AQ98" s="13">
        <v>61</v>
      </c>
      <c r="AR98" s="13">
        <v>4</v>
      </c>
      <c r="AS98" s="13">
        <v>30</v>
      </c>
      <c r="AT98" s="13">
        <v>5</v>
      </c>
      <c r="AU98" s="13">
        <v>16</v>
      </c>
      <c r="AV98" s="13">
        <v>22</v>
      </c>
      <c r="AW98" s="13">
        <v>1</v>
      </c>
      <c r="AX98" s="13">
        <v>1</v>
      </c>
      <c r="AY98" s="13">
        <v>7</v>
      </c>
      <c r="AZ98" s="13">
        <v>25</v>
      </c>
      <c r="BA98" s="13">
        <v>2</v>
      </c>
      <c r="BB98" s="13">
        <v>50</v>
      </c>
      <c r="BC98" s="13" t="s">
        <v>545</v>
      </c>
      <c r="BD98" s="13">
        <v>100</v>
      </c>
      <c r="BE98" s="13" t="s">
        <v>545</v>
      </c>
      <c r="BF98" s="13" t="s">
        <v>1007</v>
      </c>
      <c r="BG98" s="13">
        <v>40</v>
      </c>
      <c r="BH98" s="13">
        <v>100</v>
      </c>
      <c r="BI98" s="13">
        <v>601</v>
      </c>
      <c r="BJ98" s="13">
        <v>210</v>
      </c>
      <c r="BK98" s="13" t="s">
        <v>1008</v>
      </c>
      <c r="BL98" s="13">
        <v>26</v>
      </c>
      <c r="BM98" s="13">
        <v>80</v>
      </c>
      <c r="BN98" s="13">
        <v>42</v>
      </c>
      <c r="BO98" s="13">
        <v>120</v>
      </c>
      <c r="BP98" s="13">
        <v>24</v>
      </c>
      <c r="BQ98" s="13">
        <v>80</v>
      </c>
      <c r="BR98" s="13">
        <v>12</v>
      </c>
      <c r="BS98" s="13">
        <v>24</v>
      </c>
      <c r="BT98" s="13">
        <v>21</v>
      </c>
      <c r="BU98" s="13">
        <v>18</v>
      </c>
      <c r="BV98" s="13">
        <v>3</v>
      </c>
      <c r="BW98" s="13">
        <v>129</v>
      </c>
      <c r="BX98" s="13">
        <v>15</v>
      </c>
      <c r="BY98" s="13">
        <v>28</v>
      </c>
      <c r="BZ98" s="13" t="s">
        <v>1009</v>
      </c>
      <c r="CA98" s="13">
        <v>12</v>
      </c>
      <c r="CB98" s="13" t="s">
        <v>545</v>
      </c>
      <c r="CC98" s="13">
        <v>4</v>
      </c>
      <c r="CD98" s="13">
        <v>4</v>
      </c>
      <c r="CE98" s="13">
        <v>250</v>
      </c>
      <c r="CF98" s="13" t="s">
        <v>1010</v>
      </c>
      <c r="CG98" s="13">
        <v>13</v>
      </c>
      <c r="CH98" s="13">
        <v>1</v>
      </c>
      <c r="CI98" s="13">
        <v>12</v>
      </c>
      <c r="CJ98" s="13" t="s">
        <v>545</v>
      </c>
      <c r="CK98" s="13">
        <v>5</v>
      </c>
      <c r="CL98" s="13">
        <v>65</v>
      </c>
      <c r="CM98" s="13">
        <v>1</v>
      </c>
      <c r="CN98" s="13">
        <v>3</v>
      </c>
      <c r="CO98" s="13">
        <v>30</v>
      </c>
      <c r="CP98" s="13">
        <v>79</v>
      </c>
      <c r="CQ98" s="13">
        <v>377</v>
      </c>
      <c r="CR98" s="13">
        <v>3</v>
      </c>
      <c r="CS98" s="13">
        <v>205</v>
      </c>
      <c r="CT98" s="13" t="s">
        <v>545</v>
      </c>
      <c r="CU98" s="13">
        <v>9</v>
      </c>
      <c r="CV98" s="13">
        <v>2</v>
      </c>
      <c r="CW98" s="13">
        <v>10</v>
      </c>
      <c r="CX98" s="13">
        <v>10</v>
      </c>
      <c r="CY98" s="13">
        <v>8</v>
      </c>
      <c r="CZ98" s="13">
        <v>2</v>
      </c>
      <c r="DA98" s="13">
        <v>5</v>
      </c>
      <c r="DB98" s="13" t="s">
        <v>545</v>
      </c>
      <c r="DC98" s="32" t="s">
        <v>1011</v>
      </c>
    </row>
    <row r="99" spans="1:107" ht="19">
      <c r="A99" s="9" t="s">
        <v>297</v>
      </c>
      <c r="B99" s="9" t="s">
        <v>298</v>
      </c>
      <c r="C99" s="13" t="s">
        <v>545</v>
      </c>
      <c r="D99" s="13" t="s">
        <v>545</v>
      </c>
      <c r="E99" s="13" t="s">
        <v>545</v>
      </c>
      <c r="F99" s="13" t="s">
        <v>545</v>
      </c>
      <c r="G99" s="13" t="s">
        <v>545</v>
      </c>
      <c r="H99" s="13" t="s">
        <v>545</v>
      </c>
      <c r="I99" s="13" t="s">
        <v>545</v>
      </c>
      <c r="J99" s="13" t="s">
        <v>545</v>
      </c>
      <c r="K99" s="13" t="s">
        <v>545</v>
      </c>
      <c r="L99" s="13">
        <v>1</v>
      </c>
      <c r="M99" s="13">
        <v>3</v>
      </c>
      <c r="N99" s="13" t="s">
        <v>545</v>
      </c>
      <c r="O99" s="13" t="s">
        <v>545</v>
      </c>
      <c r="P99" s="13" t="s">
        <v>545</v>
      </c>
      <c r="Q99" s="13" t="s">
        <v>545</v>
      </c>
      <c r="R99" s="13">
        <v>11</v>
      </c>
      <c r="S99" s="13" t="s">
        <v>545</v>
      </c>
      <c r="T99" s="13">
        <v>11</v>
      </c>
      <c r="U99" s="13">
        <v>3</v>
      </c>
      <c r="V99" s="13" t="s">
        <v>545</v>
      </c>
      <c r="W99" s="13" t="s">
        <v>545</v>
      </c>
      <c r="X99" s="13" t="s">
        <v>545</v>
      </c>
      <c r="Y99" s="13" t="s">
        <v>545</v>
      </c>
      <c r="Z99" s="13" t="s">
        <v>545</v>
      </c>
      <c r="AA99" s="13" t="s">
        <v>545</v>
      </c>
      <c r="AB99" s="13" t="s">
        <v>545</v>
      </c>
      <c r="AC99" s="13" t="s">
        <v>545</v>
      </c>
      <c r="AD99" s="13" t="s">
        <v>545</v>
      </c>
      <c r="AE99" s="13" t="s">
        <v>545</v>
      </c>
      <c r="AF99" s="13" t="s">
        <v>545</v>
      </c>
      <c r="AG99" s="13">
        <v>107</v>
      </c>
      <c r="AH99" s="13">
        <v>12</v>
      </c>
      <c r="AI99" s="13" t="s">
        <v>545</v>
      </c>
      <c r="AJ99" s="13">
        <v>7</v>
      </c>
      <c r="AK99" s="13" t="s">
        <v>545</v>
      </c>
      <c r="AL99" s="13">
        <v>8</v>
      </c>
      <c r="AM99" s="13">
        <v>8</v>
      </c>
      <c r="AN99" s="13">
        <v>32</v>
      </c>
      <c r="AO99" s="13">
        <v>5</v>
      </c>
      <c r="AP99" s="13" t="s">
        <v>545</v>
      </c>
      <c r="AQ99" s="13" t="s">
        <v>545</v>
      </c>
      <c r="AR99" s="13" t="s">
        <v>545</v>
      </c>
      <c r="AS99" s="13">
        <v>15</v>
      </c>
      <c r="AT99" s="13" t="s">
        <v>545</v>
      </c>
      <c r="AU99" s="13" t="s">
        <v>545</v>
      </c>
      <c r="AV99" s="13">
        <v>2</v>
      </c>
      <c r="AW99" s="13" t="s">
        <v>545</v>
      </c>
      <c r="AX99" s="13" t="s">
        <v>545</v>
      </c>
      <c r="AY99" s="13" t="s">
        <v>545</v>
      </c>
      <c r="AZ99" s="13" t="s">
        <v>545</v>
      </c>
      <c r="BA99" s="13" t="s">
        <v>545</v>
      </c>
      <c r="BB99" s="13">
        <v>5</v>
      </c>
      <c r="BC99" s="13">
        <v>4</v>
      </c>
      <c r="BD99" s="13">
        <v>29</v>
      </c>
      <c r="BE99" s="13" t="s">
        <v>545</v>
      </c>
      <c r="BF99" s="13" t="s">
        <v>545</v>
      </c>
      <c r="BG99" s="13" t="s">
        <v>545</v>
      </c>
      <c r="BH99" s="13" t="s">
        <v>545</v>
      </c>
      <c r="BI99" s="13" t="s">
        <v>545</v>
      </c>
      <c r="BJ99" s="13" t="s">
        <v>545</v>
      </c>
      <c r="BK99" s="13">
        <v>12</v>
      </c>
      <c r="BL99" s="13">
        <v>5</v>
      </c>
      <c r="BM99" s="13">
        <v>20</v>
      </c>
      <c r="BN99" s="13">
        <v>77</v>
      </c>
      <c r="BO99" s="13">
        <v>8</v>
      </c>
      <c r="BP99" s="13" t="s">
        <v>545</v>
      </c>
      <c r="BQ99" s="13">
        <v>59</v>
      </c>
      <c r="BR99" s="13" t="s">
        <v>545</v>
      </c>
      <c r="BS99" s="13">
        <v>22</v>
      </c>
      <c r="BT99" s="13">
        <v>182</v>
      </c>
      <c r="BU99" s="13">
        <v>801</v>
      </c>
      <c r="BV99" s="13" t="s">
        <v>545</v>
      </c>
      <c r="BW99" s="13" t="s">
        <v>625</v>
      </c>
      <c r="BX99" s="13">
        <v>219</v>
      </c>
      <c r="BY99" s="13">
        <v>204</v>
      </c>
      <c r="BZ99" s="13">
        <v>131</v>
      </c>
      <c r="CA99" s="13" t="s">
        <v>545</v>
      </c>
      <c r="CB99" s="13" t="s">
        <v>545</v>
      </c>
      <c r="CC99" s="13">
        <v>280</v>
      </c>
      <c r="CD99" s="13">
        <v>349</v>
      </c>
      <c r="CE99" s="13">
        <v>363</v>
      </c>
      <c r="CF99" s="13">
        <v>143</v>
      </c>
      <c r="CG99" s="13">
        <v>106</v>
      </c>
      <c r="CH99" s="13">
        <v>133</v>
      </c>
      <c r="CI99" s="13">
        <v>99</v>
      </c>
      <c r="CJ99" s="13">
        <v>33</v>
      </c>
      <c r="CK99" s="13" t="s">
        <v>545</v>
      </c>
      <c r="CL99" s="13">
        <v>183</v>
      </c>
      <c r="CM99" s="13">
        <v>97</v>
      </c>
      <c r="CN99" s="13">
        <v>21</v>
      </c>
      <c r="CO99" s="13" t="s">
        <v>545</v>
      </c>
      <c r="CP99" s="13">
        <v>114</v>
      </c>
      <c r="CQ99" s="13" t="s">
        <v>1012</v>
      </c>
      <c r="CR99" s="13" t="s">
        <v>1013</v>
      </c>
      <c r="CS99" s="13">
        <v>303</v>
      </c>
      <c r="CT99" s="13" t="s">
        <v>1014</v>
      </c>
      <c r="CU99" s="13" t="s">
        <v>545</v>
      </c>
      <c r="CV99" s="13" t="s">
        <v>545</v>
      </c>
      <c r="CW99" s="13" t="s">
        <v>545</v>
      </c>
      <c r="CX99" s="13">
        <v>9</v>
      </c>
      <c r="CY99" s="13">
        <v>10</v>
      </c>
      <c r="CZ99" s="13">
        <v>10</v>
      </c>
      <c r="DA99" s="13">
        <v>32</v>
      </c>
      <c r="DB99" s="13" t="s">
        <v>545</v>
      </c>
      <c r="DC99" s="32" t="s">
        <v>1015</v>
      </c>
    </row>
    <row r="100" spans="1:107" ht="19">
      <c r="A100" s="14" t="s">
        <v>299</v>
      </c>
      <c r="B100" s="14" t="s">
        <v>300</v>
      </c>
      <c r="C100" s="15" t="s">
        <v>545</v>
      </c>
      <c r="D100" s="15" t="s">
        <v>545</v>
      </c>
      <c r="E100" s="15" t="s">
        <v>545</v>
      </c>
      <c r="F100" s="15" t="s">
        <v>545</v>
      </c>
      <c r="G100" s="15">
        <v>9</v>
      </c>
      <c r="H100" s="15" t="s">
        <v>545</v>
      </c>
      <c r="I100" s="15" t="s">
        <v>545</v>
      </c>
      <c r="J100" s="15" t="s">
        <v>545</v>
      </c>
      <c r="K100" s="15" t="s">
        <v>545</v>
      </c>
      <c r="L100" s="15" t="s">
        <v>545</v>
      </c>
      <c r="M100" s="15" t="s">
        <v>545</v>
      </c>
      <c r="N100" s="15" t="s">
        <v>545</v>
      </c>
      <c r="O100" s="15" t="s">
        <v>545</v>
      </c>
      <c r="P100" s="15" t="s">
        <v>545</v>
      </c>
      <c r="Q100" s="15" t="s">
        <v>545</v>
      </c>
      <c r="R100" s="15">
        <v>12</v>
      </c>
      <c r="S100" s="15" t="s">
        <v>545</v>
      </c>
      <c r="T100" s="15" t="s">
        <v>545</v>
      </c>
      <c r="U100" s="15" t="s">
        <v>545</v>
      </c>
      <c r="V100" s="15" t="s">
        <v>545</v>
      </c>
      <c r="W100" s="15" t="s">
        <v>545</v>
      </c>
      <c r="X100" s="15" t="s">
        <v>545</v>
      </c>
      <c r="Y100" s="15" t="s">
        <v>545</v>
      </c>
      <c r="Z100" s="15" t="s">
        <v>545</v>
      </c>
      <c r="AA100" s="15" t="s">
        <v>545</v>
      </c>
      <c r="AB100" s="15" t="s">
        <v>545</v>
      </c>
      <c r="AC100" s="15" t="s">
        <v>545</v>
      </c>
      <c r="AD100" s="15" t="s">
        <v>545</v>
      </c>
      <c r="AE100" s="15" t="s">
        <v>545</v>
      </c>
      <c r="AF100" s="15" t="s">
        <v>545</v>
      </c>
      <c r="AG100" s="15">
        <v>42</v>
      </c>
      <c r="AH100" s="15">
        <v>2</v>
      </c>
      <c r="AI100" s="15" t="s">
        <v>545</v>
      </c>
      <c r="AJ100" s="15">
        <v>6</v>
      </c>
      <c r="AK100" s="15" t="s">
        <v>545</v>
      </c>
      <c r="AL100" s="15">
        <v>1</v>
      </c>
      <c r="AM100" s="15">
        <v>13</v>
      </c>
      <c r="AN100" s="15">
        <v>60</v>
      </c>
      <c r="AO100" s="15">
        <v>6</v>
      </c>
      <c r="AP100" s="15" t="s">
        <v>545</v>
      </c>
      <c r="AQ100" s="15" t="s">
        <v>545</v>
      </c>
      <c r="AR100" s="15" t="s">
        <v>545</v>
      </c>
      <c r="AS100" s="15" t="s">
        <v>545</v>
      </c>
      <c r="AT100" s="15" t="s">
        <v>545</v>
      </c>
      <c r="AU100" s="15" t="s">
        <v>545</v>
      </c>
      <c r="AV100" s="15" t="s">
        <v>545</v>
      </c>
      <c r="AW100" s="15" t="s">
        <v>545</v>
      </c>
      <c r="AX100" s="15" t="s">
        <v>545</v>
      </c>
      <c r="AY100" s="15" t="s">
        <v>545</v>
      </c>
      <c r="AZ100" s="15" t="s">
        <v>545</v>
      </c>
      <c r="BA100" s="15" t="s">
        <v>545</v>
      </c>
      <c r="BB100" s="15">
        <v>9</v>
      </c>
      <c r="BC100" s="15" t="s">
        <v>545</v>
      </c>
      <c r="BD100" s="15">
        <v>16</v>
      </c>
      <c r="BE100" s="15" t="s">
        <v>545</v>
      </c>
      <c r="BF100" s="15" t="s">
        <v>545</v>
      </c>
      <c r="BG100" s="15" t="s">
        <v>545</v>
      </c>
      <c r="BH100" s="15" t="s">
        <v>545</v>
      </c>
      <c r="BI100" s="15" t="s">
        <v>545</v>
      </c>
      <c r="BJ100" s="15" t="s">
        <v>545</v>
      </c>
      <c r="BK100" s="15" t="s">
        <v>545</v>
      </c>
      <c r="BL100" s="15" t="s">
        <v>545</v>
      </c>
      <c r="BM100" s="15" t="s">
        <v>545</v>
      </c>
      <c r="BN100" s="15" t="s">
        <v>545</v>
      </c>
      <c r="BO100" s="15" t="s">
        <v>545</v>
      </c>
      <c r="BP100" s="15" t="s">
        <v>545</v>
      </c>
      <c r="BQ100" s="15" t="s">
        <v>545</v>
      </c>
      <c r="BR100" s="15" t="s">
        <v>545</v>
      </c>
      <c r="BS100" s="15">
        <v>2</v>
      </c>
      <c r="BT100" s="15" t="s">
        <v>545</v>
      </c>
      <c r="BU100" s="15" t="s">
        <v>545</v>
      </c>
      <c r="BV100" s="15" t="s">
        <v>545</v>
      </c>
      <c r="BW100" s="15">
        <v>53</v>
      </c>
      <c r="BX100" s="15">
        <v>126</v>
      </c>
      <c r="BY100" s="15">
        <v>7</v>
      </c>
      <c r="BZ100" s="15" t="s">
        <v>545</v>
      </c>
      <c r="CA100" s="15" t="s">
        <v>545</v>
      </c>
      <c r="CB100" s="15" t="s">
        <v>545</v>
      </c>
      <c r="CC100" s="15" t="s">
        <v>545</v>
      </c>
      <c r="CD100" s="15" t="s">
        <v>545</v>
      </c>
      <c r="CE100" s="15" t="s">
        <v>545</v>
      </c>
      <c r="CF100" s="15" t="s">
        <v>545</v>
      </c>
      <c r="CG100" s="15" t="s">
        <v>545</v>
      </c>
      <c r="CH100" s="15" t="s">
        <v>545</v>
      </c>
      <c r="CI100" s="15" t="s">
        <v>545</v>
      </c>
      <c r="CJ100" s="15" t="s">
        <v>545</v>
      </c>
      <c r="CK100" s="15" t="s">
        <v>545</v>
      </c>
      <c r="CL100" s="15">
        <v>2</v>
      </c>
      <c r="CM100" s="15" t="s">
        <v>545</v>
      </c>
      <c r="CN100" s="15" t="s">
        <v>545</v>
      </c>
      <c r="CO100" s="15" t="s">
        <v>545</v>
      </c>
      <c r="CP100" s="15" t="s">
        <v>545</v>
      </c>
      <c r="CQ100" s="15">
        <v>277</v>
      </c>
      <c r="CR100" s="15" t="s">
        <v>545</v>
      </c>
      <c r="CS100" s="15" t="s">
        <v>1016</v>
      </c>
      <c r="CT100" s="15" t="s">
        <v>545</v>
      </c>
      <c r="CU100" s="15" t="s">
        <v>545</v>
      </c>
      <c r="CV100" s="15" t="s">
        <v>545</v>
      </c>
      <c r="CW100" s="15" t="s">
        <v>545</v>
      </c>
      <c r="CX100" s="15">
        <v>39</v>
      </c>
      <c r="CY100" s="15" t="s">
        <v>545</v>
      </c>
      <c r="CZ100" s="15" t="s">
        <v>545</v>
      </c>
      <c r="DA100" s="15" t="s">
        <v>545</v>
      </c>
      <c r="DB100" s="15" t="s">
        <v>545</v>
      </c>
      <c r="DC100" s="34" t="s">
        <v>1017</v>
      </c>
    </row>
    <row r="101" spans="1:107" ht="19">
      <c r="A101" s="9" t="s">
        <v>301</v>
      </c>
      <c r="B101" s="9" t="s">
        <v>112</v>
      </c>
      <c r="C101" s="13" t="s">
        <v>545</v>
      </c>
      <c r="D101" s="13" t="s">
        <v>545</v>
      </c>
      <c r="E101" s="13" t="s">
        <v>545</v>
      </c>
      <c r="F101" s="13" t="s">
        <v>545</v>
      </c>
      <c r="G101" s="13" t="s">
        <v>545</v>
      </c>
      <c r="H101" s="13" t="s">
        <v>545</v>
      </c>
      <c r="I101" s="13" t="s">
        <v>545</v>
      </c>
      <c r="J101" s="13" t="s">
        <v>545</v>
      </c>
      <c r="K101" s="13" t="s">
        <v>545</v>
      </c>
      <c r="L101" s="13" t="s">
        <v>545</v>
      </c>
      <c r="M101" s="13" t="s">
        <v>545</v>
      </c>
      <c r="N101" s="13" t="s">
        <v>545</v>
      </c>
      <c r="O101" s="13" t="s">
        <v>545</v>
      </c>
      <c r="P101" s="13" t="s">
        <v>545</v>
      </c>
      <c r="Q101" s="13" t="s">
        <v>545</v>
      </c>
      <c r="R101" s="13" t="s">
        <v>545</v>
      </c>
      <c r="S101" s="13" t="s">
        <v>545</v>
      </c>
      <c r="T101" s="13" t="s">
        <v>545</v>
      </c>
      <c r="U101" s="13" t="s">
        <v>545</v>
      </c>
      <c r="V101" s="13" t="s">
        <v>545</v>
      </c>
      <c r="W101" s="13" t="s">
        <v>545</v>
      </c>
      <c r="X101" s="13" t="s">
        <v>545</v>
      </c>
      <c r="Y101" s="13" t="s">
        <v>545</v>
      </c>
      <c r="Z101" s="13" t="s">
        <v>545</v>
      </c>
      <c r="AA101" s="13" t="s">
        <v>545</v>
      </c>
      <c r="AB101" s="13" t="s">
        <v>545</v>
      </c>
      <c r="AC101" s="13" t="s">
        <v>545</v>
      </c>
      <c r="AD101" s="13" t="s">
        <v>545</v>
      </c>
      <c r="AE101" s="13" t="s">
        <v>545</v>
      </c>
      <c r="AF101" s="13" t="s">
        <v>545</v>
      </c>
      <c r="AG101" s="13" t="s">
        <v>545</v>
      </c>
      <c r="AH101" s="13">
        <v>1</v>
      </c>
      <c r="AI101" s="13" t="s">
        <v>545</v>
      </c>
      <c r="AJ101" s="13" t="s">
        <v>545</v>
      </c>
      <c r="AK101" s="13" t="s">
        <v>545</v>
      </c>
      <c r="AL101" s="13" t="s">
        <v>545</v>
      </c>
      <c r="AM101" s="13" t="s">
        <v>545</v>
      </c>
      <c r="AN101" s="13" t="s">
        <v>545</v>
      </c>
      <c r="AO101" s="13" t="s">
        <v>545</v>
      </c>
      <c r="AP101" s="13" t="s">
        <v>545</v>
      </c>
      <c r="AQ101" s="13" t="s">
        <v>545</v>
      </c>
      <c r="AR101" s="13" t="s">
        <v>545</v>
      </c>
      <c r="AS101" s="13" t="s">
        <v>545</v>
      </c>
      <c r="AT101" s="13" t="s">
        <v>545</v>
      </c>
      <c r="AU101" s="13" t="s">
        <v>545</v>
      </c>
      <c r="AV101" s="13" t="s">
        <v>545</v>
      </c>
      <c r="AW101" s="13" t="s">
        <v>545</v>
      </c>
      <c r="AX101" s="13" t="s">
        <v>545</v>
      </c>
      <c r="AY101" s="13" t="s">
        <v>545</v>
      </c>
      <c r="AZ101" s="13" t="s">
        <v>545</v>
      </c>
      <c r="BA101" s="13" t="s">
        <v>545</v>
      </c>
      <c r="BB101" s="13" t="s">
        <v>545</v>
      </c>
      <c r="BC101" s="13" t="s">
        <v>545</v>
      </c>
      <c r="BD101" s="13" t="s">
        <v>545</v>
      </c>
      <c r="BE101" s="13" t="s">
        <v>545</v>
      </c>
      <c r="BF101" s="13" t="s">
        <v>545</v>
      </c>
      <c r="BG101" s="13" t="s">
        <v>545</v>
      </c>
      <c r="BH101" s="13" t="s">
        <v>545</v>
      </c>
      <c r="BI101" s="13" t="s">
        <v>545</v>
      </c>
      <c r="BJ101" s="13" t="s">
        <v>545</v>
      </c>
      <c r="BK101" s="13" t="s">
        <v>545</v>
      </c>
      <c r="BL101" s="13" t="s">
        <v>545</v>
      </c>
      <c r="BM101" s="13" t="s">
        <v>545</v>
      </c>
      <c r="BN101" s="13" t="s">
        <v>545</v>
      </c>
      <c r="BO101" s="13" t="s">
        <v>545</v>
      </c>
      <c r="BP101" s="13" t="s">
        <v>545</v>
      </c>
      <c r="BQ101" s="13" t="s">
        <v>545</v>
      </c>
      <c r="BR101" s="13">
        <v>1</v>
      </c>
      <c r="BS101" s="13" t="s">
        <v>545</v>
      </c>
      <c r="BT101" s="13" t="s">
        <v>545</v>
      </c>
      <c r="BU101" s="13" t="s">
        <v>545</v>
      </c>
      <c r="BV101" s="13" t="s">
        <v>545</v>
      </c>
      <c r="BW101" s="13">
        <v>8</v>
      </c>
      <c r="BX101" s="13">
        <v>3</v>
      </c>
      <c r="BY101" s="13" t="s">
        <v>545</v>
      </c>
      <c r="BZ101" s="13" t="s">
        <v>545</v>
      </c>
      <c r="CA101" s="13" t="s">
        <v>545</v>
      </c>
      <c r="CB101" s="13" t="s">
        <v>545</v>
      </c>
      <c r="CC101" s="13" t="s">
        <v>545</v>
      </c>
      <c r="CD101" s="13" t="s">
        <v>545</v>
      </c>
      <c r="CE101" s="13" t="s">
        <v>545</v>
      </c>
      <c r="CF101" s="13" t="s">
        <v>545</v>
      </c>
      <c r="CG101" s="13" t="s">
        <v>545</v>
      </c>
      <c r="CH101" s="13" t="s">
        <v>545</v>
      </c>
      <c r="CI101" s="13" t="s">
        <v>545</v>
      </c>
      <c r="CJ101" s="13" t="s">
        <v>545</v>
      </c>
      <c r="CK101" s="13" t="s">
        <v>545</v>
      </c>
      <c r="CL101" s="13" t="s">
        <v>545</v>
      </c>
      <c r="CM101" s="13" t="s">
        <v>545</v>
      </c>
      <c r="CN101" s="13" t="s">
        <v>545</v>
      </c>
      <c r="CO101" s="13" t="s">
        <v>545</v>
      </c>
      <c r="CP101" s="13" t="s">
        <v>545</v>
      </c>
      <c r="CQ101" s="13">
        <v>16</v>
      </c>
      <c r="CR101" s="13" t="s">
        <v>545</v>
      </c>
      <c r="CS101" s="13" t="s">
        <v>1018</v>
      </c>
      <c r="CT101" s="13" t="s">
        <v>1019</v>
      </c>
      <c r="CU101" s="13" t="s">
        <v>545</v>
      </c>
      <c r="CV101" s="13" t="s">
        <v>545</v>
      </c>
      <c r="CW101" s="13" t="s">
        <v>545</v>
      </c>
      <c r="CX101" s="13" t="s">
        <v>545</v>
      </c>
      <c r="CY101" s="13" t="s">
        <v>545</v>
      </c>
      <c r="CZ101" s="13" t="s">
        <v>545</v>
      </c>
      <c r="DA101" s="13" t="s">
        <v>545</v>
      </c>
      <c r="DB101" s="13" t="s">
        <v>545</v>
      </c>
      <c r="DC101" s="32" t="s">
        <v>1020</v>
      </c>
    </row>
    <row r="102" spans="1:107" ht="19">
      <c r="A102" s="9" t="s">
        <v>302</v>
      </c>
      <c r="B102" s="9" t="s">
        <v>303</v>
      </c>
      <c r="C102" s="13" t="s">
        <v>545</v>
      </c>
      <c r="D102" s="13" t="s">
        <v>545</v>
      </c>
      <c r="E102" s="13" t="s">
        <v>545</v>
      </c>
      <c r="F102" s="13" t="s">
        <v>545</v>
      </c>
      <c r="G102" s="13" t="s">
        <v>545</v>
      </c>
      <c r="H102" s="13" t="s">
        <v>545</v>
      </c>
      <c r="I102" s="13" t="s">
        <v>545</v>
      </c>
      <c r="J102" s="13" t="s">
        <v>545</v>
      </c>
      <c r="K102" s="13" t="s">
        <v>545</v>
      </c>
      <c r="L102" s="13" t="s">
        <v>545</v>
      </c>
      <c r="M102" s="13" t="s">
        <v>545</v>
      </c>
      <c r="N102" s="13" t="s">
        <v>545</v>
      </c>
      <c r="O102" s="13" t="s">
        <v>545</v>
      </c>
      <c r="P102" s="13" t="s">
        <v>545</v>
      </c>
      <c r="Q102" s="13" t="s">
        <v>545</v>
      </c>
      <c r="R102" s="13" t="s">
        <v>545</v>
      </c>
      <c r="S102" s="13" t="s">
        <v>545</v>
      </c>
      <c r="T102" s="13" t="s">
        <v>545</v>
      </c>
      <c r="U102" s="13" t="s">
        <v>545</v>
      </c>
      <c r="V102" s="13" t="s">
        <v>545</v>
      </c>
      <c r="W102" s="13" t="s">
        <v>545</v>
      </c>
      <c r="X102" s="13" t="s">
        <v>545</v>
      </c>
      <c r="Y102" s="13" t="s">
        <v>545</v>
      </c>
      <c r="Z102" s="13" t="s">
        <v>545</v>
      </c>
      <c r="AA102" s="13" t="s">
        <v>545</v>
      </c>
      <c r="AB102" s="13" t="s">
        <v>545</v>
      </c>
      <c r="AC102" s="13" t="s">
        <v>545</v>
      </c>
      <c r="AD102" s="13" t="s">
        <v>545</v>
      </c>
      <c r="AE102" s="13" t="s">
        <v>545</v>
      </c>
      <c r="AF102" s="13" t="s">
        <v>545</v>
      </c>
      <c r="AG102" s="13" t="s">
        <v>545</v>
      </c>
      <c r="AH102" s="13" t="s">
        <v>545</v>
      </c>
      <c r="AI102" s="13" t="s">
        <v>545</v>
      </c>
      <c r="AJ102" s="13" t="s">
        <v>545</v>
      </c>
      <c r="AK102" s="13" t="s">
        <v>545</v>
      </c>
      <c r="AL102" s="13" t="s">
        <v>545</v>
      </c>
      <c r="AM102" s="13" t="s">
        <v>545</v>
      </c>
      <c r="AN102" s="13" t="s">
        <v>545</v>
      </c>
      <c r="AO102" s="13" t="s">
        <v>545</v>
      </c>
      <c r="AP102" s="13" t="s">
        <v>545</v>
      </c>
      <c r="AQ102" s="13" t="s">
        <v>545</v>
      </c>
      <c r="AR102" s="13" t="s">
        <v>545</v>
      </c>
      <c r="AS102" s="13" t="s">
        <v>545</v>
      </c>
      <c r="AT102" s="13" t="s">
        <v>545</v>
      </c>
      <c r="AU102" s="13" t="s">
        <v>545</v>
      </c>
      <c r="AV102" s="13" t="s">
        <v>545</v>
      </c>
      <c r="AW102" s="13" t="s">
        <v>545</v>
      </c>
      <c r="AX102" s="13" t="s">
        <v>545</v>
      </c>
      <c r="AY102" s="13" t="s">
        <v>545</v>
      </c>
      <c r="AZ102" s="13" t="s">
        <v>545</v>
      </c>
      <c r="BA102" s="13" t="s">
        <v>545</v>
      </c>
      <c r="BB102" s="13" t="s">
        <v>545</v>
      </c>
      <c r="BC102" s="13" t="s">
        <v>545</v>
      </c>
      <c r="BD102" s="13">
        <v>27</v>
      </c>
      <c r="BE102" s="13" t="s">
        <v>545</v>
      </c>
      <c r="BF102" s="13" t="s">
        <v>545</v>
      </c>
      <c r="BG102" s="13" t="s">
        <v>545</v>
      </c>
      <c r="BH102" s="13" t="s">
        <v>545</v>
      </c>
      <c r="BI102" s="13" t="s">
        <v>545</v>
      </c>
      <c r="BJ102" s="13" t="s">
        <v>545</v>
      </c>
      <c r="BK102" s="13" t="s">
        <v>545</v>
      </c>
      <c r="BL102" s="13" t="s">
        <v>545</v>
      </c>
      <c r="BM102" s="13" t="s">
        <v>545</v>
      </c>
      <c r="BN102" s="13" t="s">
        <v>545</v>
      </c>
      <c r="BO102" s="13" t="s">
        <v>545</v>
      </c>
      <c r="BP102" s="13" t="s">
        <v>545</v>
      </c>
      <c r="BQ102" s="13" t="s">
        <v>545</v>
      </c>
      <c r="BR102" s="13">
        <v>358</v>
      </c>
      <c r="BS102" s="13" t="s">
        <v>1021</v>
      </c>
      <c r="BT102" s="13" t="s">
        <v>545</v>
      </c>
      <c r="BU102" s="13" t="s">
        <v>545</v>
      </c>
      <c r="BV102" s="13" t="s">
        <v>545</v>
      </c>
      <c r="BW102" s="13">
        <v>35</v>
      </c>
      <c r="BX102" s="13" t="s">
        <v>545</v>
      </c>
      <c r="BY102" s="13">
        <v>8</v>
      </c>
      <c r="BZ102" s="13" t="s">
        <v>545</v>
      </c>
      <c r="CA102" s="13" t="s">
        <v>545</v>
      </c>
      <c r="CB102" s="13" t="s">
        <v>545</v>
      </c>
      <c r="CC102" s="13" t="s">
        <v>545</v>
      </c>
      <c r="CD102" s="13" t="s">
        <v>545</v>
      </c>
      <c r="CE102" s="13" t="s">
        <v>545</v>
      </c>
      <c r="CF102" s="13" t="s">
        <v>545</v>
      </c>
      <c r="CG102" s="13" t="s">
        <v>545</v>
      </c>
      <c r="CH102" s="13" t="s">
        <v>545</v>
      </c>
      <c r="CI102" s="13" t="s">
        <v>545</v>
      </c>
      <c r="CJ102" s="13" t="s">
        <v>545</v>
      </c>
      <c r="CK102" s="13" t="s">
        <v>545</v>
      </c>
      <c r="CL102" s="13" t="s">
        <v>545</v>
      </c>
      <c r="CM102" s="13" t="s">
        <v>545</v>
      </c>
      <c r="CN102" s="13" t="s">
        <v>545</v>
      </c>
      <c r="CO102" s="13" t="s">
        <v>545</v>
      </c>
      <c r="CP102" s="13">
        <v>78</v>
      </c>
      <c r="CQ102" s="13">
        <v>371</v>
      </c>
      <c r="CR102" s="13">
        <v>85</v>
      </c>
      <c r="CS102" s="13">
        <v>35</v>
      </c>
      <c r="CT102" s="13">
        <v>116</v>
      </c>
      <c r="CU102" s="13" t="s">
        <v>1022</v>
      </c>
      <c r="CV102" s="13">
        <v>64</v>
      </c>
      <c r="CW102" s="13" t="s">
        <v>545</v>
      </c>
      <c r="CX102" s="13">
        <v>489</v>
      </c>
      <c r="CY102" s="13" t="s">
        <v>545</v>
      </c>
      <c r="CZ102" s="13" t="s">
        <v>545</v>
      </c>
      <c r="DA102" s="13" t="s">
        <v>545</v>
      </c>
      <c r="DB102" s="13" t="s">
        <v>545</v>
      </c>
      <c r="DC102" s="32" t="s">
        <v>1023</v>
      </c>
    </row>
    <row r="103" spans="1:107" ht="19">
      <c r="A103" s="9" t="s">
        <v>304</v>
      </c>
      <c r="B103" s="9" t="s">
        <v>305</v>
      </c>
      <c r="C103" s="13" t="s">
        <v>545</v>
      </c>
      <c r="D103" s="13" t="s">
        <v>545</v>
      </c>
      <c r="E103" s="13" t="s">
        <v>545</v>
      </c>
      <c r="F103" s="13" t="s">
        <v>545</v>
      </c>
      <c r="G103" s="13" t="s">
        <v>545</v>
      </c>
      <c r="H103" s="13" t="s">
        <v>545</v>
      </c>
      <c r="I103" s="13" t="s">
        <v>545</v>
      </c>
      <c r="J103" s="13" t="s">
        <v>545</v>
      </c>
      <c r="K103" s="13" t="s">
        <v>545</v>
      </c>
      <c r="L103" s="13" t="s">
        <v>545</v>
      </c>
      <c r="M103" s="13" t="s">
        <v>545</v>
      </c>
      <c r="N103" s="13" t="s">
        <v>545</v>
      </c>
      <c r="O103" s="13" t="s">
        <v>545</v>
      </c>
      <c r="P103" s="13" t="s">
        <v>545</v>
      </c>
      <c r="Q103" s="13" t="s">
        <v>545</v>
      </c>
      <c r="R103" s="13" t="s">
        <v>545</v>
      </c>
      <c r="S103" s="13" t="s">
        <v>545</v>
      </c>
      <c r="T103" s="13" t="s">
        <v>545</v>
      </c>
      <c r="U103" s="13" t="s">
        <v>545</v>
      </c>
      <c r="V103" s="13" t="s">
        <v>545</v>
      </c>
      <c r="W103" s="13" t="s">
        <v>545</v>
      </c>
      <c r="X103" s="13" t="s">
        <v>545</v>
      </c>
      <c r="Y103" s="13" t="s">
        <v>545</v>
      </c>
      <c r="Z103" s="13" t="s">
        <v>545</v>
      </c>
      <c r="AA103" s="13" t="s">
        <v>545</v>
      </c>
      <c r="AB103" s="13" t="s">
        <v>545</v>
      </c>
      <c r="AC103" s="13" t="s">
        <v>545</v>
      </c>
      <c r="AD103" s="13" t="s">
        <v>545</v>
      </c>
      <c r="AE103" s="13" t="s">
        <v>545</v>
      </c>
      <c r="AF103" s="13" t="s">
        <v>545</v>
      </c>
      <c r="AG103" s="13" t="s">
        <v>545</v>
      </c>
      <c r="AH103" s="13" t="s">
        <v>545</v>
      </c>
      <c r="AI103" s="13" t="s">
        <v>545</v>
      </c>
      <c r="AJ103" s="13" t="s">
        <v>545</v>
      </c>
      <c r="AK103" s="13" t="s">
        <v>545</v>
      </c>
      <c r="AL103" s="13" t="s">
        <v>545</v>
      </c>
      <c r="AM103" s="13" t="s">
        <v>545</v>
      </c>
      <c r="AN103" s="13" t="s">
        <v>545</v>
      </c>
      <c r="AO103" s="13" t="s">
        <v>545</v>
      </c>
      <c r="AP103" s="13" t="s">
        <v>545</v>
      </c>
      <c r="AQ103" s="13" t="s">
        <v>545</v>
      </c>
      <c r="AR103" s="13" t="s">
        <v>545</v>
      </c>
      <c r="AS103" s="13" t="s">
        <v>545</v>
      </c>
      <c r="AT103" s="13" t="s">
        <v>545</v>
      </c>
      <c r="AU103" s="13" t="s">
        <v>545</v>
      </c>
      <c r="AV103" s="13" t="s">
        <v>545</v>
      </c>
      <c r="AW103" s="13" t="s">
        <v>545</v>
      </c>
      <c r="AX103" s="13" t="s">
        <v>545</v>
      </c>
      <c r="AY103" s="13" t="s">
        <v>545</v>
      </c>
      <c r="AZ103" s="13" t="s">
        <v>545</v>
      </c>
      <c r="BA103" s="13" t="s">
        <v>545</v>
      </c>
      <c r="BB103" s="13" t="s">
        <v>545</v>
      </c>
      <c r="BC103" s="13" t="s">
        <v>545</v>
      </c>
      <c r="BD103" s="13">
        <v>16</v>
      </c>
      <c r="BE103" s="13" t="s">
        <v>545</v>
      </c>
      <c r="BF103" s="13" t="s">
        <v>545</v>
      </c>
      <c r="BG103" s="13" t="s">
        <v>545</v>
      </c>
      <c r="BH103" s="13" t="s">
        <v>545</v>
      </c>
      <c r="BI103" s="13" t="s">
        <v>545</v>
      </c>
      <c r="BJ103" s="13" t="s">
        <v>545</v>
      </c>
      <c r="BK103" s="13" t="s">
        <v>545</v>
      </c>
      <c r="BL103" s="13" t="s">
        <v>545</v>
      </c>
      <c r="BM103" s="13" t="s">
        <v>545</v>
      </c>
      <c r="BN103" s="13" t="s">
        <v>545</v>
      </c>
      <c r="BO103" s="13" t="s">
        <v>545</v>
      </c>
      <c r="BP103" s="13" t="s">
        <v>545</v>
      </c>
      <c r="BQ103" s="13" t="s">
        <v>545</v>
      </c>
      <c r="BR103" s="13" t="s">
        <v>545</v>
      </c>
      <c r="BS103" s="13">
        <v>17</v>
      </c>
      <c r="BT103" s="13" t="s">
        <v>545</v>
      </c>
      <c r="BU103" s="13" t="s">
        <v>545</v>
      </c>
      <c r="BV103" s="13" t="s">
        <v>545</v>
      </c>
      <c r="BW103" s="13" t="s">
        <v>545</v>
      </c>
      <c r="BX103" s="13">
        <v>4</v>
      </c>
      <c r="BY103" s="13" t="s">
        <v>545</v>
      </c>
      <c r="BZ103" s="13">
        <v>9</v>
      </c>
      <c r="CA103" s="13" t="s">
        <v>545</v>
      </c>
      <c r="CB103" s="13" t="s">
        <v>545</v>
      </c>
      <c r="CC103" s="13" t="s">
        <v>545</v>
      </c>
      <c r="CD103" s="13" t="s">
        <v>545</v>
      </c>
      <c r="CE103" s="13" t="s">
        <v>545</v>
      </c>
      <c r="CF103" s="13" t="s">
        <v>545</v>
      </c>
      <c r="CG103" s="13" t="s">
        <v>545</v>
      </c>
      <c r="CH103" s="13" t="s">
        <v>545</v>
      </c>
      <c r="CI103" s="13" t="s">
        <v>545</v>
      </c>
      <c r="CJ103" s="13" t="s">
        <v>545</v>
      </c>
      <c r="CK103" s="13" t="s">
        <v>545</v>
      </c>
      <c r="CL103" s="13" t="s">
        <v>545</v>
      </c>
      <c r="CM103" s="13" t="s">
        <v>545</v>
      </c>
      <c r="CN103" s="13" t="s">
        <v>545</v>
      </c>
      <c r="CO103" s="13" t="s">
        <v>545</v>
      </c>
      <c r="CP103" s="13" t="s">
        <v>545</v>
      </c>
      <c r="CQ103" s="13">
        <v>350</v>
      </c>
      <c r="CR103" s="13">
        <v>66</v>
      </c>
      <c r="CS103" s="13">
        <v>100</v>
      </c>
      <c r="CT103" s="13">
        <v>40</v>
      </c>
      <c r="CU103" s="13">
        <v>28</v>
      </c>
      <c r="CV103" s="13">
        <v>283</v>
      </c>
      <c r="CW103" s="13" t="s">
        <v>545</v>
      </c>
      <c r="CX103" s="13">
        <v>207</v>
      </c>
      <c r="CY103" s="13" t="s">
        <v>545</v>
      </c>
      <c r="CZ103" s="13" t="s">
        <v>545</v>
      </c>
      <c r="DA103" s="13" t="s">
        <v>545</v>
      </c>
      <c r="DB103" s="13" t="s">
        <v>545</v>
      </c>
      <c r="DC103" s="32" t="s">
        <v>1024</v>
      </c>
    </row>
    <row r="104" spans="1:107" ht="19">
      <c r="A104" s="9" t="s">
        <v>306</v>
      </c>
      <c r="B104" s="9" t="s">
        <v>307</v>
      </c>
      <c r="C104" s="13" t="s">
        <v>545</v>
      </c>
      <c r="D104" s="13" t="s">
        <v>545</v>
      </c>
      <c r="E104" s="13" t="s">
        <v>545</v>
      </c>
      <c r="F104" s="13" t="s">
        <v>545</v>
      </c>
      <c r="G104" s="13" t="s">
        <v>545</v>
      </c>
      <c r="H104" s="13" t="s">
        <v>545</v>
      </c>
      <c r="I104" s="13" t="s">
        <v>545</v>
      </c>
      <c r="J104" s="13" t="s">
        <v>545</v>
      </c>
      <c r="K104" s="13" t="s">
        <v>545</v>
      </c>
      <c r="L104" s="13" t="s">
        <v>545</v>
      </c>
      <c r="M104" s="13" t="s">
        <v>545</v>
      </c>
      <c r="N104" s="13" t="s">
        <v>545</v>
      </c>
      <c r="O104" s="13" t="s">
        <v>545</v>
      </c>
      <c r="P104" s="13" t="s">
        <v>545</v>
      </c>
      <c r="Q104" s="13" t="s">
        <v>545</v>
      </c>
      <c r="R104" s="13" t="s">
        <v>545</v>
      </c>
      <c r="S104" s="13" t="s">
        <v>545</v>
      </c>
      <c r="T104" s="13" t="s">
        <v>545</v>
      </c>
      <c r="U104" s="13" t="s">
        <v>545</v>
      </c>
      <c r="V104" s="13" t="s">
        <v>545</v>
      </c>
      <c r="W104" s="13" t="s">
        <v>545</v>
      </c>
      <c r="X104" s="13" t="s">
        <v>545</v>
      </c>
      <c r="Y104" s="13" t="s">
        <v>545</v>
      </c>
      <c r="Z104" s="13" t="s">
        <v>545</v>
      </c>
      <c r="AA104" s="13" t="s">
        <v>545</v>
      </c>
      <c r="AB104" s="13" t="s">
        <v>545</v>
      </c>
      <c r="AC104" s="13" t="s">
        <v>545</v>
      </c>
      <c r="AD104" s="13" t="s">
        <v>545</v>
      </c>
      <c r="AE104" s="13" t="s">
        <v>545</v>
      </c>
      <c r="AF104" s="13" t="s">
        <v>545</v>
      </c>
      <c r="AG104" s="13" t="s">
        <v>545</v>
      </c>
      <c r="AH104" s="13" t="s">
        <v>545</v>
      </c>
      <c r="AI104" s="13" t="s">
        <v>545</v>
      </c>
      <c r="AJ104" s="13" t="s">
        <v>545</v>
      </c>
      <c r="AK104" s="13" t="s">
        <v>545</v>
      </c>
      <c r="AL104" s="13" t="s">
        <v>545</v>
      </c>
      <c r="AM104" s="13" t="s">
        <v>545</v>
      </c>
      <c r="AN104" s="13" t="s">
        <v>545</v>
      </c>
      <c r="AO104" s="13" t="s">
        <v>545</v>
      </c>
      <c r="AP104" s="13" t="s">
        <v>545</v>
      </c>
      <c r="AQ104" s="13" t="s">
        <v>545</v>
      </c>
      <c r="AR104" s="13" t="s">
        <v>545</v>
      </c>
      <c r="AS104" s="13" t="s">
        <v>545</v>
      </c>
      <c r="AT104" s="13" t="s">
        <v>545</v>
      </c>
      <c r="AU104" s="13" t="s">
        <v>545</v>
      </c>
      <c r="AV104" s="13" t="s">
        <v>545</v>
      </c>
      <c r="AW104" s="13" t="s">
        <v>545</v>
      </c>
      <c r="AX104" s="13" t="s">
        <v>545</v>
      </c>
      <c r="AY104" s="13" t="s">
        <v>545</v>
      </c>
      <c r="AZ104" s="13" t="s">
        <v>545</v>
      </c>
      <c r="BA104" s="13" t="s">
        <v>545</v>
      </c>
      <c r="BB104" s="13" t="s">
        <v>545</v>
      </c>
      <c r="BC104" s="13" t="s">
        <v>545</v>
      </c>
      <c r="BD104" s="13" t="s">
        <v>545</v>
      </c>
      <c r="BE104" s="13" t="s">
        <v>545</v>
      </c>
      <c r="BF104" s="13" t="s">
        <v>545</v>
      </c>
      <c r="BG104" s="13" t="s">
        <v>545</v>
      </c>
      <c r="BH104" s="13" t="s">
        <v>545</v>
      </c>
      <c r="BI104" s="13" t="s">
        <v>545</v>
      </c>
      <c r="BJ104" s="13" t="s">
        <v>545</v>
      </c>
      <c r="BK104" s="13" t="s">
        <v>545</v>
      </c>
      <c r="BL104" s="13" t="s">
        <v>545</v>
      </c>
      <c r="BM104" s="13" t="s">
        <v>545</v>
      </c>
      <c r="BN104" s="13" t="s">
        <v>545</v>
      </c>
      <c r="BO104" s="13" t="s">
        <v>545</v>
      </c>
      <c r="BP104" s="13">
        <v>10</v>
      </c>
      <c r="BQ104" s="13" t="s">
        <v>545</v>
      </c>
      <c r="BR104" s="13" t="s">
        <v>545</v>
      </c>
      <c r="BS104" s="13" t="s">
        <v>545</v>
      </c>
      <c r="BT104" s="13" t="s">
        <v>545</v>
      </c>
      <c r="BU104" s="13" t="s">
        <v>545</v>
      </c>
      <c r="BV104" s="13" t="s">
        <v>545</v>
      </c>
      <c r="BW104" s="13">
        <v>547</v>
      </c>
      <c r="BX104" s="13" t="s">
        <v>545</v>
      </c>
      <c r="BY104" s="13" t="s">
        <v>545</v>
      </c>
      <c r="BZ104" s="13">
        <v>8</v>
      </c>
      <c r="CA104" s="13" t="s">
        <v>545</v>
      </c>
      <c r="CB104" s="13" t="s">
        <v>545</v>
      </c>
      <c r="CC104" s="13" t="s">
        <v>545</v>
      </c>
      <c r="CD104" s="13" t="s">
        <v>545</v>
      </c>
      <c r="CE104" s="13" t="s">
        <v>545</v>
      </c>
      <c r="CF104" s="13" t="s">
        <v>545</v>
      </c>
      <c r="CG104" s="13" t="s">
        <v>545</v>
      </c>
      <c r="CH104" s="13" t="s">
        <v>545</v>
      </c>
      <c r="CI104" s="13" t="s">
        <v>545</v>
      </c>
      <c r="CJ104" s="13" t="s">
        <v>545</v>
      </c>
      <c r="CK104" s="13" t="s">
        <v>545</v>
      </c>
      <c r="CL104" s="13" t="s">
        <v>545</v>
      </c>
      <c r="CM104" s="13" t="s">
        <v>545</v>
      </c>
      <c r="CN104" s="13" t="s">
        <v>545</v>
      </c>
      <c r="CO104" s="13" t="s">
        <v>545</v>
      </c>
      <c r="CP104" s="13" t="s">
        <v>545</v>
      </c>
      <c r="CQ104" s="13" t="s">
        <v>545</v>
      </c>
      <c r="CR104" s="13" t="s">
        <v>545</v>
      </c>
      <c r="CS104" s="13" t="s">
        <v>545</v>
      </c>
      <c r="CT104" s="13" t="s">
        <v>545</v>
      </c>
      <c r="CU104" s="13" t="s">
        <v>545</v>
      </c>
      <c r="CV104" s="13" t="s">
        <v>545</v>
      </c>
      <c r="CW104" s="13">
        <v>881</v>
      </c>
      <c r="CX104" s="13">
        <v>17</v>
      </c>
      <c r="CY104" s="13" t="s">
        <v>545</v>
      </c>
      <c r="CZ104" s="13" t="s">
        <v>545</v>
      </c>
      <c r="DA104" s="13" t="s">
        <v>545</v>
      </c>
      <c r="DB104" s="13" t="s">
        <v>545</v>
      </c>
      <c r="DC104" s="32" t="s">
        <v>1025</v>
      </c>
    </row>
    <row r="105" spans="1:107" ht="19">
      <c r="A105" s="9" t="s">
        <v>308</v>
      </c>
      <c r="B105" s="9" t="s">
        <v>309</v>
      </c>
      <c r="C105" s="13" t="s">
        <v>545</v>
      </c>
      <c r="D105" s="13" t="s">
        <v>545</v>
      </c>
      <c r="E105" s="13" t="s">
        <v>545</v>
      </c>
      <c r="F105" s="13" t="s">
        <v>545</v>
      </c>
      <c r="G105" s="13" t="s">
        <v>545</v>
      </c>
      <c r="H105" s="13" t="s">
        <v>545</v>
      </c>
      <c r="I105" s="13" t="s">
        <v>545</v>
      </c>
      <c r="J105" s="13" t="s">
        <v>545</v>
      </c>
      <c r="K105" s="13" t="s">
        <v>545</v>
      </c>
      <c r="L105" s="13" t="s">
        <v>545</v>
      </c>
      <c r="M105" s="13" t="s">
        <v>545</v>
      </c>
      <c r="N105" s="13" t="s">
        <v>545</v>
      </c>
      <c r="O105" s="13" t="s">
        <v>545</v>
      </c>
      <c r="P105" s="13" t="s">
        <v>545</v>
      </c>
      <c r="Q105" s="13" t="s">
        <v>545</v>
      </c>
      <c r="R105" s="13">
        <v>20</v>
      </c>
      <c r="S105" s="13" t="s">
        <v>545</v>
      </c>
      <c r="T105" s="13" t="s">
        <v>545</v>
      </c>
      <c r="U105" s="13" t="s">
        <v>545</v>
      </c>
      <c r="V105" s="13" t="s">
        <v>545</v>
      </c>
      <c r="W105" s="13" t="s">
        <v>545</v>
      </c>
      <c r="X105" s="13" t="s">
        <v>545</v>
      </c>
      <c r="Y105" s="13" t="s">
        <v>545</v>
      </c>
      <c r="Z105" s="13" t="s">
        <v>545</v>
      </c>
      <c r="AA105" s="13" t="s">
        <v>545</v>
      </c>
      <c r="AB105" s="13" t="s">
        <v>545</v>
      </c>
      <c r="AC105" s="13" t="s">
        <v>545</v>
      </c>
      <c r="AD105" s="13" t="s">
        <v>545</v>
      </c>
      <c r="AE105" s="13" t="s">
        <v>545</v>
      </c>
      <c r="AF105" s="13" t="s">
        <v>545</v>
      </c>
      <c r="AG105" s="13" t="s">
        <v>545</v>
      </c>
      <c r="AH105" s="13" t="s">
        <v>545</v>
      </c>
      <c r="AI105" s="13" t="s">
        <v>545</v>
      </c>
      <c r="AJ105" s="13" t="s">
        <v>545</v>
      </c>
      <c r="AK105" s="13" t="s">
        <v>545</v>
      </c>
      <c r="AL105" s="13" t="s">
        <v>545</v>
      </c>
      <c r="AM105" s="13" t="s">
        <v>545</v>
      </c>
      <c r="AN105" s="13" t="s">
        <v>545</v>
      </c>
      <c r="AO105" s="13" t="s">
        <v>545</v>
      </c>
      <c r="AP105" s="13" t="s">
        <v>545</v>
      </c>
      <c r="AQ105" s="13" t="s">
        <v>545</v>
      </c>
      <c r="AR105" s="13" t="s">
        <v>545</v>
      </c>
      <c r="AS105" s="13" t="s">
        <v>545</v>
      </c>
      <c r="AT105" s="13" t="s">
        <v>545</v>
      </c>
      <c r="AU105" s="13" t="s">
        <v>545</v>
      </c>
      <c r="AV105" s="13" t="s">
        <v>545</v>
      </c>
      <c r="AW105" s="13" t="s">
        <v>545</v>
      </c>
      <c r="AX105" s="13" t="s">
        <v>545</v>
      </c>
      <c r="AY105" s="13" t="s">
        <v>545</v>
      </c>
      <c r="AZ105" s="13" t="s">
        <v>545</v>
      </c>
      <c r="BA105" s="13" t="s">
        <v>545</v>
      </c>
      <c r="BB105" s="13">
        <v>2</v>
      </c>
      <c r="BC105" s="13" t="s">
        <v>545</v>
      </c>
      <c r="BD105" s="13">
        <v>23</v>
      </c>
      <c r="BE105" s="13" t="s">
        <v>545</v>
      </c>
      <c r="BF105" s="13" t="s">
        <v>545</v>
      </c>
      <c r="BG105" s="13" t="s">
        <v>545</v>
      </c>
      <c r="BH105" s="13" t="s">
        <v>545</v>
      </c>
      <c r="BI105" s="13" t="s">
        <v>545</v>
      </c>
      <c r="BJ105" s="13" t="s">
        <v>545</v>
      </c>
      <c r="BK105" s="13" t="s">
        <v>545</v>
      </c>
      <c r="BL105" s="13" t="s">
        <v>545</v>
      </c>
      <c r="BM105" s="13" t="s">
        <v>545</v>
      </c>
      <c r="BN105" s="13" t="s">
        <v>545</v>
      </c>
      <c r="BO105" s="13" t="s">
        <v>545</v>
      </c>
      <c r="BP105" s="13" t="s">
        <v>545</v>
      </c>
      <c r="BQ105" s="13" t="s">
        <v>545</v>
      </c>
      <c r="BR105" s="13" t="s">
        <v>545</v>
      </c>
      <c r="BS105" s="13">
        <v>176</v>
      </c>
      <c r="BT105" s="13" t="s">
        <v>545</v>
      </c>
      <c r="BU105" s="13" t="s">
        <v>545</v>
      </c>
      <c r="BV105" s="13" t="s">
        <v>545</v>
      </c>
      <c r="BW105" s="13">
        <v>65</v>
      </c>
      <c r="BX105" s="13">
        <v>32</v>
      </c>
      <c r="BY105" s="13">
        <v>9</v>
      </c>
      <c r="BZ105" s="13" t="s">
        <v>545</v>
      </c>
      <c r="CA105" s="13" t="s">
        <v>545</v>
      </c>
      <c r="CB105" s="13" t="s">
        <v>545</v>
      </c>
      <c r="CC105" s="13">
        <v>2</v>
      </c>
      <c r="CD105" s="13" t="s">
        <v>545</v>
      </c>
      <c r="CE105" s="13" t="s">
        <v>545</v>
      </c>
      <c r="CF105" s="13" t="s">
        <v>545</v>
      </c>
      <c r="CG105" s="13" t="s">
        <v>545</v>
      </c>
      <c r="CH105" s="13" t="s">
        <v>545</v>
      </c>
      <c r="CI105" s="13" t="s">
        <v>545</v>
      </c>
      <c r="CJ105" s="13" t="s">
        <v>545</v>
      </c>
      <c r="CK105" s="13" t="s">
        <v>545</v>
      </c>
      <c r="CL105" s="13" t="s">
        <v>545</v>
      </c>
      <c r="CM105" s="13">
        <v>97</v>
      </c>
      <c r="CN105" s="13" t="s">
        <v>545</v>
      </c>
      <c r="CO105" s="13" t="s">
        <v>545</v>
      </c>
      <c r="CP105" s="13" t="s">
        <v>545</v>
      </c>
      <c r="CQ105" s="13">
        <v>213</v>
      </c>
      <c r="CR105" s="13">
        <v>80</v>
      </c>
      <c r="CS105" s="13" t="s">
        <v>545</v>
      </c>
      <c r="CT105" s="13">
        <v>54</v>
      </c>
      <c r="CU105" s="13">
        <v>15</v>
      </c>
      <c r="CV105" s="13">
        <v>31</v>
      </c>
      <c r="CW105" s="13">
        <v>39</v>
      </c>
      <c r="CX105" s="13" t="s">
        <v>751</v>
      </c>
      <c r="CY105" s="13">
        <v>2</v>
      </c>
      <c r="CZ105" s="13" t="s">
        <v>545</v>
      </c>
      <c r="DA105" s="13" t="s">
        <v>545</v>
      </c>
      <c r="DB105" s="13" t="s">
        <v>545</v>
      </c>
      <c r="DC105" s="32" t="s">
        <v>1026</v>
      </c>
    </row>
    <row r="106" spans="1:107" ht="19">
      <c r="A106" s="9" t="s">
        <v>310</v>
      </c>
      <c r="B106" s="9" t="s">
        <v>311</v>
      </c>
      <c r="C106" s="13" t="s">
        <v>545</v>
      </c>
      <c r="D106" s="13">
        <v>3</v>
      </c>
      <c r="E106" s="13" t="s">
        <v>545</v>
      </c>
      <c r="F106" s="13" t="s">
        <v>545</v>
      </c>
      <c r="G106" s="13" t="s">
        <v>545</v>
      </c>
      <c r="H106" s="13" t="s">
        <v>545</v>
      </c>
      <c r="I106" s="13" t="s">
        <v>545</v>
      </c>
      <c r="J106" s="13" t="s">
        <v>545</v>
      </c>
      <c r="K106" s="13" t="s">
        <v>545</v>
      </c>
      <c r="L106" s="13" t="s">
        <v>545</v>
      </c>
      <c r="M106" s="13" t="s">
        <v>545</v>
      </c>
      <c r="N106" s="13" t="s">
        <v>545</v>
      </c>
      <c r="O106" s="13" t="s">
        <v>545</v>
      </c>
      <c r="P106" s="13" t="s">
        <v>545</v>
      </c>
      <c r="Q106" s="13" t="s">
        <v>545</v>
      </c>
      <c r="R106" s="13" t="s">
        <v>545</v>
      </c>
      <c r="S106" s="13" t="s">
        <v>545</v>
      </c>
      <c r="T106" s="13" t="s">
        <v>545</v>
      </c>
      <c r="U106" s="13" t="s">
        <v>545</v>
      </c>
      <c r="V106" s="13" t="s">
        <v>545</v>
      </c>
      <c r="W106" s="13" t="s">
        <v>545</v>
      </c>
      <c r="X106" s="13" t="s">
        <v>545</v>
      </c>
      <c r="Y106" s="13" t="s">
        <v>545</v>
      </c>
      <c r="Z106" s="13" t="s">
        <v>545</v>
      </c>
      <c r="AA106" s="13">
        <v>1</v>
      </c>
      <c r="AB106" s="13" t="s">
        <v>545</v>
      </c>
      <c r="AC106" s="13" t="s">
        <v>545</v>
      </c>
      <c r="AD106" s="13" t="s">
        <v>545</v>
      </c>
      <c r="AE106" s="13" t="s">
        <v>545</v>
      </c>
      <c r="AF106" s="13" t="s">
        <v>545</v>
      </c>
      <c r="AG106" s="13" t="s">
        <v>545</v>
      </c>
      <c r="AH106" s="13">
        <v>1</v>
      </c>
      <c r="AI106" s="13" t="s">
        <v>545</v>
      </c>
      <c r="AJ106" s="13" t="s">
        <v>545</v>
      </c>
      <c r="AK106" s="13" t="s">
        <v>545</v>
      </c>
      <c r="AL106" s="13">
        <v>1</v>
      </c>
      <c r="AM106" s="13">
        <v>6</v>
      </c>
      <c r="AN106" s="13">
        <v>7</v>
      </c>
      <c r="AO106" s="13">
        <v>1</v>
      </c>
      <c r="AP106" s="13" t="s">
        <v>545</v>
      </c>
      <c r="AQ106" s="13" t="s">
        <v>545</v>
      </c>
      <c r="AR106" s="13" t="s">
        <v>545</v>
      </c>
      <c r="AS106" s="13" t="s">
        <v>545</v>
      </c>
      <c r="AT106" s="13" t="s">
        <v>545</v>
      </c>
      <c r="AU106" s="13" t="s">
        <v>545</v>
      </c>
      <c r="AV106" s="13" t="s">
        <v>545</v>
      </c>
      <c r="AW106" s="13" t="s">
        <v>545</v>
      </c>
      <c r="AX106" s="13" t="s">
        <v>545</v>
      </c>
      <c r="AY106" s="13" t="s">
        <v>545</v>
      </c>
      <c r="AZ106" s="13" t="s">
        <v>545</v>
      </c>
      <c r="BA106" s="13" t="s">
        <v>545</v>
      </c>
      <c r="BB106" s="13">
        <v>2</v>
      </c>
      <c r="BC106" s="13" t="s">
        <v>545</v>
      </c>
      <c r="BD106" s="13">
        <v>3</v>
      </c>
      <c r="BE106" s="13" t="s">
        <v>545</v>
      </c>
      <c r="BF106" s="13" t="s">
        <v>545</v>
      </c>
      <c r="BG106" s="13" t="s">
        <v>545</v>
      </c>
      <c r="BH106" s="13">
        <v>2</v>
      </c>
      <c r="BI106" s="13">
        <v>5</v>
      </c>
      <c r="BJ106" s="13" t="s">
        <v>545</v>
      </c>
      <c r="BK106" s="13" t="s">
        <v>545</v>
      </c>
      <c r="BL106" s="13" t="s">
        <v>545</v>
      </c>
      <c r="BM106" s="13">
        <v>3</v>
      </c>
      <c r="BN106" s="13">
        <v>17</v>
      </c>
      <c r="BO106" s="13" t="s">
        <v>545</v>
      </c>
      <c r="BP106" s="13" t="s">
        <v>545</v>
      </c>
      <c r="BQ106" s="13" t="s">
        <v>545</v>
      </c>
      <c r="BR106" s="13">
        <v>13</v>
      </c>
      <c r="BS106" s="13">
        <v>205</v>
      </c>
      <c r="BT106" s="13" t="s">
        <v>545</v>
      </c>
      <c r="BU106" s="13" t="s">
        <v>545</v>
      </c>
      <c r="BV106" s="13">
        <v>1</v>
      </c>
      <c r="BW106" s="13">
        <v>366</v>
      </c>
      <c r="BX106" s="13">
        <v>25</v>
      </c>
      <c r="BY106" s="13">
        <v>37</v>
      </c>
      <c r="BZ106" s="13" t="s">
        <v>545</v>
      </c>
      <c r="CA106" s="13" t="s">
        <v>545</v>
      </c>
      <c r="CB106" s="13" t="s">
        <v>545</v>
      </c>
      <c r="CC106" s="13">
        <v>1</v>
      </c>
      <c r="CD106" s="13">
        <v>1</v>
      </c>
      <c r="CE106" s="13">
        <v>1</v>
      </c>
      <c r="CF106" s="13" t="s">
        <v>545</v>
      </c>
      <c r="CG106" s="13" t="s">
        <v>545</v>
      </c>
      <c r="CH106" s="13">
        <v>93</v>
      </c>
      <c r="CI106" s="13">
        <v>100</v>
      </c>
      <c r="CJ106" s="13" t="s">
        <v>545</v>
      </c>
      <c r="CK106" s="13" t="s">
        <v>545</v>
      </c>
      <c r="CL106" s="13">
        <v>258</v>
      </c>
      <c r="CM106" s="13" t="s">
        <v>545</v>
      </c>
      <c r="CN106" s="13">
        <v>18</v>
      </c>
      <c r="CO106" s="13">
        <v>15</v>
      </c>
      <c r="CP106" s="13">
        <v>92</v>
      </c>
      <c r="CQ106" s="13">
        <v>245</v>
      </c>
      <c r="CR106" s="13">
        <v>403</v>
      </c>
      <c r="CS106" s="13" t="s">
        <v>545</v>
      </c>
      <c r="CT106" s="13">
        <v>264</v>
      </c>
      <c r="CU106" s="13">
        <v>5</v>
      </c>
      <c r="CV106" s="13">
        <v>7</v>
      </c>
      <c r="CW106" s="13">
        <v>13</v>
      </c>
      <c r="CX106" s="13">
        <v>95</v>
      </c>
      <c r="CY106" s="13" t="s">
        <v>1027</v>
      </c>
      <c r="CZ106" s="13" t="s">
        <v>545</v>
      </c>
      <c r="DA106" s="13" t="s">
        <v>545</v>
      </c>
      <c r="DB106" s="13" t="s">
        <v>545</v>
      </c>
      <c r="DC106" s="32" t="s">
        <v>1028</v>
      </c>
    </row>
    <row r="107" spans="1:107" ht="19">
      <c r="A107" s="9" t="s">
        <v>312</v>
      </c>
      <c r="B107" s="9" t="s">
        <v>313</v>
      </c>
      <c r="C107" s="13" t="s">
        <v>545</v>
      </c>
      <c r="D107" s="13" t="s">
        <v>545</v>
      </c>
      <c r="E107" s="13" t="s">
        <v>545</v>
      </c>
      <c r="F107" s="13" t="s">
        <v>545</v>
      </c>
      <c r="G107" s="13" t="s">
        <v>545</v>
      </c>
      <c r="H107" s="13" t="s">
        <v>545</v>
      </c>
      <c r="I107" s="13" t="s">
        <v>545</v>
      </c>
      <c r="J107" s="13" t="s">
        <v>545</v>
      </c>
      <c r="K107" s="13" t="s">
        <v>545</v>
      </c>
      <c r="L107" s="13" t="s">
        <v>545</v>
      </c>
      <c r="M107" s="13" t="s">
        <v>545</v>
      </c>
      <c r="N107" s="13" t="s">
        <v>545</v>
      </c>
      <c r="O107" s="13" t="s">
        <v>545</v>
      </c>
      <c r="P107" s="13" t="s">
        <v>545</v>
      </c>
      <c r="Q107" s="13" t="s">
        <v>545</v>
      </c>
      <c r="R107" s="13" t="s">
        <v>545</v>
      </c>
      <c r="S107" s="13" t="s">
        <v>545</v>
      </c>
      <c r="T107" s="13" t="s">
        <v>545</v>
      </c>
      <c r="U107" s="13" t="s">
        <v>545</v>
      </c>
      <c r="V107" s="13" t="s">
        <v>545</v>
      </c>
      <c r="W107" s="13" t="s">
        <v>545</v>
      </c>
      <c r="X107" s="13" t="s">
        <v>545</v>
      </c>
      <c r="Y107" s="13" t="s">
        <v>545</v>
      </c>
      <c r="Z107" s="13" t="s">
        <v>545</v>
      </c>
      <c r="AA107" s="13" t="s">
        <v>545</v>
      </c>
      <c r="AB107" s="13" t="s">
        <v>545</v>
      </c>
      <c r="AC107" s="13" t="s">
        <v>545</v>
      </c>
      <c r="AD107" s="13" t="s">
        <v>545</v>
      </c>
      <c r="AE107" s="13" t="s">
        <v>545</v>
      </c>
      <c r="AF107" s="13" t="s">
        <v>545</v>
      </c>
      <c r="AG107" s="13" t="s">
        <v>545</v>
      </c>
      <c r="AH107" s="13" t="s">
        <v>545</v>
      </c>
      <c r="AI107" s="13" t="s">
        <v>545</v>
      </c>
      <c r="AJ107" s="13" t="s">
        <v>545</v>
      </c>
      <c r="AK107" s="13" t="s">
        <v>545</v>
      </c>
      <c r="AL107" s="13" t="s">
        <v>545</v>
      </c>
      <c r="AM107" s="13" t="s">
        <v>545</v>
      </c>
      <c r="AN107" s="13" t="s">
        <v>545</v>
      </c>
      <c r="AO107" s="13" t="s">
        <v>545</v>
      </c>
      <c r="AP107" s="13" t="s">
        <v>545</v>
      </c>
      <c r="AQ107" s="13" t="s">
        <v>545</v>
      </c>
      <c r="AR107" s="13" t="s">
        <v>545</v>
      </c>
      <c r="AS107" s="13" t="s">
        <v>545</v>
      </c>
      <c r="AT107" s="13" t="s">
        <v>545</v>
      </c>
      <c r="AU107" s="13" t="s">
        <v>545</v>
      </c>
      <c r="AV107" s="13" t="s">
        <v>545</v>
      </c>
      <c r="AW107" s="13" t="s">
        <v>545</v>
      </c>
      <c r="AX107" s="13" t="s">
        <v>545</v>
      </c>
      <c r="AY107" s="13" t="s">
        <v>545</v>
      </c>
      <c r="AZ107" s="13" t="s">
        <v>545</v>
      </c>
      <c r="BA107" s="13" t="s">
        <v>545</v>
      </c>
      <c r="BB107" s="13" t="s">
        <v>545</v>
      </c>
      <c r="BC107" s="13" t="s">
        <v>545</v>
      </c>
      <c r="BD107" s="13">
        <v>24</v>
      </c>
      <c r="BE107" s="13" t="s">
        <v>545</v>
      </c>
      <c r="BF107" s="13" t="s">
        <v>545</v>
      </c>
      <c r="BG107" s="13" t="s">
        <v>545</v>
      </c>
      <c r="BH107" s="13" t="s">
        <v>545</v>
      </c>
      <c r="BI107" s="13" t="s">
        <v>545</v>
      </c>
      <c r="BJ107" s="13" t="s">
        <v>545</v>
      </c>
      <c r="BK107" s="13" t="s">
        <v>545</v>
      </c>
      <c r="BL107" s="13" t="s">
        <v>545</v>
      </c>
      <c r="BM107" s="13" t="s">
        <v>545</v>
      </c>
      <c r="BN107" s="13">
        <v>3</v>
      </c>
      <c r="BO107" s="13" t="s">
        <v>545</v>
      </c>
      <c r="BP107" s="13" t="s">
        <v>545</v>
      </c>
      <c r="BQ107" s="13">
        <v>2</v>
      </c>
      <c r="BR107" s="13" t="s">
        <v>545</v>
      </c>
      <c r="BS107" s="13">
        <v>5</v>
      </c>
      <c r="BT107" s="13" t="s">
        <v>545</v>
      </c>
      <c r="BU107" s="13" t="s">
        <v>545</v>
      </c>
      <c r="BV107" s="13" t="s">
        <v>545</v>
      </c>
      <c r="BW107" s="13">
        <v>128</v>
      </c>
      <c r="BX107" s="13" t="s">
        <v>545</v>
      </c>
      <c r="BY107" s="13">
        <v>20</v>
      </c>
      <c r="BZ107" s="13" t="s">
        <v>545</v>
      </c>
      <c r="CA107" s="13">
        <v>15</v>
      </c>
      <c r="CB107" s="13" t="s">
        <v>545</v>
      </c>
      <c r="CC107" s="13" t="s">
        <v>545</v>
      </c>
      <c r="CD107" s="13" t="s">
        <v>545</v>
      </c>
      <c r="CE107" s="13" t="s">
        <v>545</v>
      </c>
      <c r="CF107" s="13" t="s">
        <v>545</v>
      </c>
      <c r="CG107" s="13">
        <v>2</v>
      </c>
      <c r="CH107" s="13">
        <v>1</v>
      </c>
      <c r="CI107" s="13" t="s">
        <v>545</v>
      </c>
      <c r="CJ107" s="13" t="s">
        <v>545</v>
      </c>
      <c r="CK107" s="13">
        <v>3</v>
      </c>
      <c r="CL107" s="13">
        <v>6</v>
      </c>
      <c r="CM107" s="13" t="s">
        <v>545</v>
      </c>
      <c r="CN107" s="13" t="s">
        <v>545</v>
      </c>
      <c r="CO107" s="13" t="s">
        <v>545</v>
      </c>
      <c r="CP107" s="13" t="s">
        <v>545</v>
      </c>
      <c r="CQ107" s="13" t="s">
        <v>1029</v>
      </c>
      <c r="CR107" s="13">
        <v>69</v>
      </c>
      <c r="CS107" s="13">
        <v>791</v>
      </c>
      <c r="CT107" s="13">
        <v>173</v>
      </c>
      <c r="CU107" s="13" t="s">
        <v>545</v>
      </c>
      <c r="CV107" s="13">
        <v>7</v>
      </c>
      <c r="CW107" s="13" t="s">
        <v>545</v>
      </c>
      <c r="CX107" s="13">
        <v>26</v>
      </c>
      <c r="CY107" s="13" t="s">
        <v>545</v>
      </c>
      <c r="CZ107" s="13">
        <v>282</v>
      </c>
      <c r="DA107" s="13">
        <v>3</v>
      </c>
      <c r="DB107" s="13" t="s">
        <v>545</v>
      </c>
      <c r="DC107" s="32" t="s">
        <v>1030</v>
      </c>
    </row>
    <row r="108" spans="1:107" ht="19">
      <c r="A108" s="9" t="s">
        <v>314</v>
      </c>
      <c r="B108" s="9" t="s">
        <v>315</v>
      </c>
      <c r="C108" s="13" t="s">
        <v>545</v>
      </c>
      <c r="D108" s="13" t="s">
        <v>545</v>
      </c>
      <c r="E108" s="13">
        <v>23</v>
      </c>
      <c r="F108" s="13" t="s">
        <v>545</v>
      </c>
      <c r="G108" s="13" t="s">
        <v>545</v>
      </c>
      <c r="H108" s="13" t="s">
        <v>545</v>
      </c>
      <c r="I108" s="13" t="s">
        <v>545</v>
      </c>
      <c r="J108" s="13" t="s">
        <v>545</v>
      </c>
      <c r="K108" s="13" t="s">
        <v>545</v>
      </c>
      <c r="L108" s="13" t="s">
        <v>545</v>
      </c>
      <c r="M108" s="13" t="s">
        <v>545</v>
      </c>
      <c r="N108" s="13" t="s">
        <v>545</v>
      </c>
      <c r="O108" s="13" t="s">
        <v>545</v>
      </c>
      <c r="P108" s="13" t="s">
        <v>545</v>
      </c>
      <c r="Q108" s="13" t="s">
        <v>545</v>
      </c>
      <c r="R108" s="13" t="s">
        <v>545</v>
      </c>
      <c r="S108" s="13" t="s">
        <v>545</v>
      </c>
      <c r="T108" s="13" t="s">
        <v>545</v>
      </c>
      <c r="U108" s="13" t="s">
        <v>545</v>
      </c>
      <c r="V108" s="13" t="s">
        <v>545</v>
      </c>
      <c r="W108" s="13" t="s">
        <v>545</v>
      </c>
      <c r="X108" s="13" t="s">
        <v>545</v>
      </c>
      <c r="Y108" s="13" t="s">
        <v>545</v>
      </c>
      <c r="Z108" s="13" t="s">
        <v>545</v>
      </c>
      <c r="AA108" s="13" t="s">
        <v>545</v>
      </c>
      <c r="AB108" s="13" t="s">
        <v>545</v>
      </c>
      <c r="AC108" s="13" t="s">
        <v>545</v>
      </c>
      <c r="AD108" s="13" t="s">
        <v>545</v>
      </c>
      <c r="AE108" s="13" t="s">
        <v>545</v>
      </c>
      <c r="AF108" s="13" t="s">
        <v>545</v>
      </c>
      <c r="AG108" s="13" t="s">
        <v>545</v>
      </c>
      <c r="AH108" s="13" t="s">
        <v>545</v>
      </c>
      <c r="AI108" s="13" t="s">
        <v>545</v>
      </c>
      <c r="AJ108" s="13">
        <v>2</v>
      </c>
      <c r="AK108" s="13" t="s">
        <v>545</v>
      </c>
      <c r="AL108" s="13">
        <v>1</v>
      </c>
      <c r="AM108" s="13">
        <v>4</v>
      </c>
      <c r="AN108" s="13">
        <v>10</v>
      </c>
      <c r="AO108" s="13" t="s">
        <v>545</v>
      </c>
      <c r="AP108" s="13" t="s">
        <v>545</v>
      </c>
      <c r="AQ108" s="13" t="s">
        <v>545</v>
      </c>
      <c r="AR108" s="13" t="s">
        <v>545</v>
      </c>
      <c r="AS108" s="13" t="s">
        <v>545</v>
      </c>
      <c r="AT108" s="13" t="s">
        <v>545</v>
      </c>
      <c r="AU108" s="13" t="s">
        <v>545</v>
      </c>
      <c r="AV108" s="13" t="s">
        <v>545</v>
      </c>
      <c r="AW108" s="13" t="s">
        <v>545</v>
      </c>
      <c r="AX108" s="13" t="s">
        <v>545</v>
      </c>
      <c r="AY108" s="13" t="s">
        <v>545</v>
      </c>
      <c r="AZ108" s="13" t="s">
        <v>545</v>
      </c>
      <c r="BA108" s="13" t="s">
        <v>545</v>
      </c>
      <c r="BB108" s="13" t="s">
        <v>545</v>
      </c>
      <c r="BC108" s="13" t="s">
        <v>545</v>
      </c>
      <c r="BD108" s="13">
        <v>2</v>
      </c>
      <c r="BE108" s="13" t="s">
        <v>545</v>
      </c>
      <c r="BF108" s="13" t="s">
        <v>545</v>
      </c>
      <c r="BG108" s="13" t="s">
        <v>545</v>
      </c>
      <c r="BH108" s="13" t="s">
        <v>545</v>
      </c>
      <c r="BI108" s="13" t="s">
        <v>545</v>
      </c>
      <c r="BJ108" s="13" t="s">
        <v>545</v>
      </c>
      <c r="BK108" s="13" t="s">
        <v>545</v>
      </c>
      <c r="BL108" s="13" t="s">
        <v>545</v>
      </c>
      <c r="BM108" s="13" t="s">
        <v>545</v>
      </c>
      <c r="BN108" s="13">
        <v>3</v>
      </c>
      <c r="BO108" s="13" t="s">
        <v>545</v>
      </c>
      <c r="BP108" s="13" t="s">
        <v>545</v>
      </c>
      <c r="BQ108" s="13">
        <v>133</v>
      </c>
      <c r="BR108" s="13">
        <v>10</v>
      </c>
      <c r="BS108" s="13" t="s">
        <v>761</v>
      </c>
      <c r="BT108" s="13" t="s">
        <v>545</v>
      </c>
      <c r="BU108" s="13" t="s">
        <v>545</v>
      </c>
      <c r="BV108" s="13" t="s">
        <v>545</v>
      </c>
      <c r="BW108" s="13">
        <v>346</v>
      </c>
      <c r="BX108" s="13">
        <v>10</v>
      </c>
      <c r="BY108" s="13">
        <v>22</v>
      </c>
      <c r="BZ108" s="13" t="s">
        <v>545</v>
      </c>
      <c r="CA108" s="13" t="s">
        <v>545</v>
      </c>
      <c r="CB108" s="13" t="s">
        <v>545</v>
      </c>
      <c r="CC108" s="13" t="s">
        <v>545</v>
      </c>
      <c r="CD108" s="13" t="s">
        <v>545</v>
      </c>
      <c r="CE108" s="13" t="s">
        <v>545</v>
      </c>
      <c r="CF108" s="13" t="s">
        <v>545</v>
      </c>
      <c r="CG108" s="13" t="s">
        <v>545</v>
      </c>
      <c r="CH108" s="13">
        <v>23</v>
      </c>
      <c r="CI108" s="13" t="s">
        <v>545</v>
      </c>
      <c r="CJ108" s="13">
        <v>1</v>
      </c>
      <c r="CK108" s="13">
        <v>4</v>
      </c>
      <c r="CL108" s="13">
        <v>45</v>
      </c>
      <c r="CM108" s="13" t="s">
        <v>545</v>
      </c>
      <c r="CN108" s="13" t="s">
        <v>545</v>
      </c>
      <c r="CO108" s="13" t="s">
        <v>545</v>
      </c>
      <c r="CP108" s="13" t="s">
        <v>545</v>
      </c>
      <c r="CQ108" s="13">
        <v>575</v>
      </c>
      <c r="CR108" s="13">
        <v>3</v>
      </c>
      <c r="CS108" s="13">
        <v>701</v>
      </c>
      <c r="CT108" s="13">
        <v>86</v>
      </c>
      <c r="CU108" s="13" t="s">
        <v>545</v>
      </c>
      <c r="CV108" s="13" t="s">
        <v>545</v>
      </c>
      <c r="CW108" s="13" t="s">
        <v>545</v>
      </c>
      <c r="CX108" s="13" t="s">
        <v>545</v>
      </c>
      <c r="CY108" s="13" t="s">
        <v>545</v>
      </c>
      <c r="CZ108" s="13" t="s">
        <v>545</v>
      </c>
      <c r="DA108" s="13">
        <v>980</v>
      </c>
      <c r="DB108" s="13" t="s">
        <v>545</v>
      </c>
      <c r="DC108" s="32" t="s">
        <v>1031</v>
      </c>
    </row>
    <row r="109" spans="1:107" ht="19">
      <c r="A109" s="16" t="s">
        <v>316</v>
      </c>
      <c r="B109" s="16" t="s">
        <v>317</v>
      </c>
      <c r="C109" s="17" t="s">
        <v>545</v>
      </c>
      <c r="D109" s="17" t="s">
        <v>545</v>
      </c>
      <c r="E109" s="17" t="s">
        <v>545</v>
      </c>
      <c r="F109" s="17" t="s">
        <v>545</v>
      </c>
      <c r="G109" s="17" t="s">
        <v>545</v>
      </c>
      <c r="H109" s="17" t="s">
        <v>545</v>
      </c>
      <c r="I109" s="17" t="s">
        <v>545</v>
      </c>
      <c r="J109" s="17" t="s">
        <v>545</v>
      </c>
      <c r="K109" s="17" t="s">
        <v>545</v>
      </c>
      <c r="L109" s="17" t="s">
        <v>545</v>
      </c>
      <c r="M109" s="17" t="s">
        <v>545</v>
      </c>
      <c r="N109" s="17" t="s">
        <v>545</v>
      </c>
      <c r="O109" s="17" t="s">
        <v>545</v>
      </c>
      <c r="P109" s="17" t="s">
        <v>545</v>
      </c>
      <c r="Q109" s="17" t="s">
        <v>545</v>
      </c>
      <c r="R109" s="17" t="s">
        <v>545</v>
      </c>
      <c r="S109" s="17" t="s">
        <v>545</v>
      </c>
      <c r="T109" s="17" t="s">
        <v>545</v>
      </c>
      <c r="U109" s="17" t="s">
        <v>545</v>
      </c>
      <c r="V109" s="17" t="s">
        <v>545</v>
      </c>
      <c r="W109" s="17" t="s">
        <v>545</v>
      </c>
      <c r="X109" s="17" t="s">
        <v>545</v>
      </c>
      <c r="Y109" s="17" t="s">
        <v>545</v>
      </c>
      <c r="Z109" s="17" t="s">
        <v>545</v>
      </c>
      <c r="AA109" s="17" t="s">
        <v>545</v>
      </c>
      <c r="AB109" s="17" t="s">
        <v>545</v>
      </c>
      <c r="AC109" s="17" t="s">
        <v>545</v>
      </c>
      <c r="AD109" s="17" t="s">
        <v>545</v>
      </c>
      <c r="AE109" s="17" t="s">
        <v>545</v>
      </c>
      <c r="AF109" s="17" t="s">
        <v>545</v>
      </c>
      <c r="AG109" s="17" t="s">
        <v>545</v>
      </c>
      <c r="AH109" s="17" t="s">
        <v>545</v>
      </c>
      <c r="AI109" s="17" t="s">
        <v>545</v>
      </c>
      <c r="AJ109" s="17" t="s">
        <v>545</v>
      </c>
      <c r="AK109" s="17" t="s">
        <v>545</v>
      </c>
      <c r="AL109" s="17" t="s">
        <v>545</v>
      </c>
      <c r="AM109" s="17" t="s">
        <v>545</v>
      </c>
      <c r="AN109" s="17" t="s">
        <v>545</v>
      </c>
      <c r="AO109" s="17" t="s">
        <v>545</v>
      </c>
      <c r="AP109" s="17" t="s">
        <v>545</v>
      </c>
      <c r="AQ109" s="17" t="s">
        <v>545</v>
      </c>
      <c r="AR109" s="17" t="s">
        <v>545</v>
      </c>
      <c r="AS109" s="17" t="s">
        <v>545</v>
      </c>
      <c r="AT109" s="17" t="s">
        <v>545</v>
      </c>
      <c r="AU109" s="17" t="s">
        <v>545</v>
      </c>
      <c r="AV109" s="17" t="s">
        <v>545</v>
      </c>
      <c r="AW109" s="17" t="s">
        <v>545</v>
      </c>
      <c r="AX109" s="17" t="s">
        <v>545</v>
      </c>
      <c r="AY109" s="17" t="s">
        <v>545</v>
      </c>
      <c r="AZ109" s="17" t="s">
        <v>545</v>
      </c>
      <c r="BA109" s="17" t="s">
        <v>545</v>
      </c>
      <c r="BB109" s="17" t="s">
        <v>545</v>
      </c>
      <c r="BC109" s="17" t="s">
        <v>545</v>
      </c>
      <c r="BD109" s="17" t="s">
        <v>545</v>
      </c>
      <c r="BE109" s="17" t="s">
        <v>545</v>
      </c>
      <c r="BF109" s="17" t="s">
        <v>545</v>
      </c>
      <c r="BG109" s="17" t="s">
        <v>545</v>
      </c>
      <c r="BH109" s="17" t="s">
        <v>545</v>
      </c>
      <c r="BI109" s="17" t="s">
        <v>545</v>
      </c>
      <c r="BJ109" s="17" t="s">
        <v>545</v>
      </c>
      <c r="BK109" s="17" t="s">
        <v>545</v>
      </c>
      <c r="BL109" s="17" t="s">
        <v>545</v>
      </c>
      <c r="BM109" s="17" t="s">
        <v>545</v>
      </c>
      <c r="BN109" s="17" t="s">
        <v>545</v>
      </c>
      <c r="BO109" s="17" t="s">
        <v>545</v>
      </c>
      <c r="BP109" s="17" t="s">
        <v>545</v>
      </c>
      <c r="BQ109" s="17" t="s">
        <v>545</v>
      </c>
      <c r="BR109" s="17" t="s">
        <v>545</v>
      </c>
      <c r="BS109" s="17" t="s">
        <v>545</v>
      </c>
      <c r="BT109" s="17" t="s">
        <v>545</v>
      </c>
      <c r="BU109" s="17" t="s">
        <v>545</v>
      </c>
      <c r="BV109" s="17" t="s">
        <v>545</v>
      </c>
      <c r="BW109" s="17" t="s">
        <v>545</v>
      </c>
      <c r="BX109" s="17" t="s">
        <v>545</v>
      </c>
      <c r="BY109" s="17" t="s">
        <v>545</v>
      </c>
      <c r="BZ109" s="17" t="s">
        <v>545</v>
      </c>
      <c r="CA109" s="17" t="s">
        <v>545</v>
      </c>
      <c r="CB109" s="17" t="s">
        <v>545</v>
      </c>
      <c r="CC109" s="17" t="s">
        <v>545</v>
      </c>
      <c r="CD109" s="17" t="s">
        <v>545</v>
      </c>
      <c r="CE109" s="17" t="s">
        <v>545</v>
      </c>
      <c r="CF109" s="17" t="s">
        <v>545</v>
      </c>
      <c r="CG109" s="17" t="s">
        <v>545</v>
      </c>
      <c r="CH109" s="17" t="s">
        <v>545</v>
      </c>
      <c r="CI109" s="17" t="s">
        <v>545</v>
      </c>
      <c r="CJ109" s="17" t="s">
        <v>545</v>
      </c>
      <c r="CK109" s="17" t="s">
        <v>545</v>
      </c>
      <c r="CL109" s="17" t="s">
        <v>545</v>
      </c>
      <c r="CM109" s="17" t="s">
        <v>545</v>
      </c>
      <c r="CN109" s="17" t="s">
        <v>545</v>
      </c>
      <c r="CO109" s="17" t="s">
        <v>545</v>
      </c>
      <c r="CP109" s="17" t="s">
        <v>545</v>
      </c>
      <c r="CQ109" s="17" t="s">
        <v>545</v>
      </c>
      <c r="CR109" s="17" t="s">
        <v>545</v>
      </c>
      <c r="CS109" s="17" t="s">
        <v>545</v>
      </c>
      <c r="CT109" s="17" t="s">
        <v>545</v>
      </c>
      <c r="CU109" s="17" t="s">
        <v>545</v>
      </c>
      <c r="CV109" s="17" t="s">
        <v>545</v>
      </c>
      <c r="CW109" s="17" t="s">
        <v>545</v>
      </c>
      <c r="CX109" s="17" t="s">
        <v>545</v>
      </c>
      <c r="CY109" s="17" t="s">
        <v>545</v>
      </c>
      <c r="CZ109" s="17" t="s">
        <v>545</v>
      </c>
      <c r="DA109" s="17" t="s">
        <v>545</v>
      </c>
      <c r="DB109" s="17" t="s">
        <v>545</v>
      </c>
      <c r="DC109" s="35" t="s">
        <v>545</v>
      </c>
    </row>
    <row r="110" spans="1:107" ht="39" thickBot="1">
      <c r="A110" s="18"/>
      <c r="B110" s="19" t="s">
        <v>318</v>
      </c>
      <c r="C110" s="20" t="s">
        <v>1032</v>
      </c>
      <c r="D110" s="20" t="s">
        <v>865</v>
      </c>
      <c r="E110" s="20" t="s">
        <v>741</v>
      </c>
      <c r="F110" s="20">
        <v>74</v>
      </c>
      <c r="G110" s="20" t="s">
        <v>1033</v>
      </c>
      <c r="H110" s="20" t="s">
        <v>1034</v>
      </c>
      <c r="I110" s="20" t="s">
        <v>1035</v>
      </c>
      <c r="J110" s="20" t="s">
        <v>1036</v>
      </c>
      <c r="K110" s="20" t="s">
        <v>1037</v>
      </c>
      <c r="L110" s="20" t="s">
        <v>978</v>
      </c>
      <c r="M110" s="20" t="s">
        <v>1038</v>
      </c>
      <c r="N110" s="20" t="s">
        <v>1039</v>
      </c>
      <c r="O110" s="20" t="s">
        <v>1040</v>
      </c>
      <c r="P110" s="20" t="s">
        <v>1041</v>
      </c>
      <c r="Q110" s="20" t="s">
        <v>1042</v>
      </c>
      <c r="R110" s="20" t="s">
        <v>1043</v>
      </c>
      <c r="S110" s="20" t="s">
        <v>1044</v>
      </c>
      <c r="T110" s="20" t="s">
        <v>1045</v>
      </c>
      <c r="U110" s="20" t="s">
        <v>1046</v>
      </c>
      <c r="V110" s="20">
        <v>530</v>
      </c>
      <c r="W110" s="20" t="s">
        <v>1047</v>
      </c>
      <c r="X110" s="20" t="s">
        <v>1048</v>
      </c>
      <c r="Y110" s="20" t="s">
        <v>1049</v>
      </c>
      <c r="Z110" s="20" t="s">
        <v>1050</v>
      </c>
      <c r="AA110" s="20" t="s">
        <v>1051</v>
      </c>
      <c r="AB110" s="20" t="s">
        <v>1052</v>
      </c>
      <c r="AC110" s="20" t="s">
        <v>1053</v>
      </c>
      <c r="AD110" s="20" t="s">
        <v>1054</v>
      </c>
      <c r="AE110" s="20" t="s">
        <v>1055</v>
      </c>
      <c r="AF110" s="20" t="s">
        <v>1056</v>
      </c>
      <c r="AG110" s="20" t="s">
        <v>1057</v>
      </c>
      <c r="AH110" s="20" t="s">
        <v>1058</v>
      </c>
      <c r="AI110" s="20" t="s">
        <v>1059</v>
      </c>
      <c r="AJ110" s="20" t="s">
        <v>1060</v>
      </c>
      <c r="AK110" s="20" t="s">
        <v>1061</v>
      </c>
      <c r="AL110" s="20" t="s">
        <v>1062</v>
      </c>
      <c r="AM110" s="20" t="s">
        <v>1063</v>
      </c>
      <c r="AN110" s="20" t="s">
        <v>1064</v>
      </c>
      <c r="AO110" s="20" t="s">
        <v>1065</v>
      </c>
      <c r="AP110" s="20" t="s">
        <v>1066</v>
      </c>
      <c r="AQ110" s="20" t="s">
        <v>1067</v>
      </c>
      <c r="AR110" s="20" t="s">
        <v>1068</v>
      </c>
      <c r="AS110" s="20" t="s">
        <v>1069</v>
      </c>
      <c r="AT110" s="20" t="s">
        <v>1070</v>
      </c>
      <c r="AU110" s="20" t="s">
        <v>1071</v>
      </c>
      <c r="AV110" s="20" t="s">
        <v>1072</v>
      </c>
      <c r="AW110" s="20">
        <v>583</v>
      </c>
      <c r="AX110" s="20" t="s">
        <v>1073</v>
      </c>
      <c r="AY110" s="20" t="s">
        <v>1074</v>
      </c>
      <c r="AZ110" s="20" t="s">
        <v>1075</v>
      </c>
      <c r="BA110" s="20" t="s">
        <v>1076</v>
      </c>
      <c r="BB110" s="20" t="s">
        <v>1077</v>
      </c>
      <c r="BC110" s="20" t="s">
        <v>1078</v>
      </c>
      <c r="BD110" s="20" t="s">
        <v>1079</v>
      </c>
      <c r="BE110" s="20">
        <v>721</v>
      </c>
      <c r="BF110" s="20" t="s">
        <v>1080</v>
      </c>
      <c r="BG110" s="20" t="s">
        <v>1081</v>
      </c>
      <c r="BH110" s="20" t="s">
        <v>1082</v>
      </c>
      <c r="BI110" s="20" t="s">
        <v>1083</v>
      </c>
      <c r="BJ110" s="20" t="s">
        <v>1084</v>
      </c>
      <c r="BK110" s="20" t="s">
        <v>1085</v>
      </c>
      <c r="BL110" s="20" t="s">
        <v>1086</v>
      </c>
      <c r="BM110" s="20" t="s">
        <v>1087</v>
      </c>
      <c r="BN110" s="20" t="s">
        <v>1088</v>
      </c>
      <c r="BO110" s="20" t="s">
        <v>1089</v>
      </c>
      <c r="BP110" s="20" t="s">
        <v>1090</v>
      </c>
      <c r="BQ110" s="20" t="s">
        <v>1091</v>
      </c>
      <c r="BR110" s="20" t="s">
        <v>1092</v>
      </c>
      <c r="BS110" s="20" t="s">
        <v>1093</v>
      </c>
      <c r="BT110" s="20" t="s">
        <v>1094</v>
      </c>
      <c r="BU110" s="20" t="s">
        <v>1095</v>
      </c>
      <c r="BV110" s="20" t="s">
        <v>1096</v>
      </c>
      <c r="BW110" s="20" t="s">
        <v>1097</v>
      </c>
      <c r="BX110" s="20" t="s">
        <v>1098</v>
      </c>
      <c r="BY110" s="20" t="s">
        <v>1099</v>
      </c>
      <c r="BZ110" s="20" t="s">
        <v>1100</v>
      </c>
      <c r="CA110" s="20" t="s">
        <v>1101</v>
      </c>
      <c r="CB110" s="20" t="s">
        <v>1102</v>
      </c>
      <c r="CC110" s="20" t="s">
        <v>1103</v>
      </c>
      <c r="CD110" s="20" t="s">
        <v>1104</v>
      </c>
      <c r="CE110" s="20" t="s">
        <v>1105</v>
      </c>
      <c r="CF110" s="20" t="s">
        <v>1106</v>
      </c>
      <c r="CG110" s="20" t="s">
        <v>1107</v>
      </c>
      <c r="CH110" s="20" t="s">
        <v>1108</v>
      </c>
      <c r="CI110" s="20" t="s">
        <v>1109</v>
      </c>
      <c r="CJ110" s="20" t="s">
        <v>586</v>
      </c>
      <c r="CK110" s="20" t="s">
        <v>1110</v>
      </c>
      <c r="CL110" s="20" t="s">
        <v>1111</v>
      </c>
      <c r="CM110" s="20" t="s">
        <v>1112</v>
      </c>
      <c r="CN110" s="20" t="s">
        <v>1113</v>
      </c>
      <c r="CO110" s="20" t="s">
        <v>1114</v>
      </c>
      <c r="CP110" s="20" t="s">
        <v>1115</v>
      </c>
      <c r="CQ110" s="20" t="s">
        <v>1116</v>
      </c>
      <c r="CR110" s="20" t="s">
        <v>1117</v>
      </c>
      <c r="CS110" s="20" t="s">
        <v>1118</v>
      </c>
      <c r="CT110" s="20" t="s">
        <v>1119</v>
      </c>
      <c r="CU110" s="20" t="s">
        <v>1120</v>
      </c>
      <c r="CV110" s="20" t="s">
        <v>590</v>
      </c>
      <c r="CW110" s="20" t="s">
        <v>1121</v>
      </c>
      <c r="CX110" s="20" t="s">
        <v>1122</v>
      </c>
      <c r="CY110" s="20" t="s">
        <v>1123</v>
      </c>
      <c r="CZ110" s="20" t="s">
        <v>1124</v>
      </c>
      <c r="DA110" s="20" t="s">
        <v>1125</v>
      </c>
      <c r="DB110" s="20" t="s">
        <v>545</v>
      </c>
      <c r="DC110" s="36" t="s">
        <v>1126</v>
      </c>
    </row>
    <row r="111" spans="1:107" ht="19">
      <c r="A111" s="9"/>
      <c r="B111" s="9" t="s">
        <v>319</v>
      </c>
      <c r="C111" s="13">
        <v>182</v>
      </c>
      <c r="D111" s="13" t="s">
        <v>545</v>
      </c>
      <c r="E111" s="13">
        <v>5</v>
      </c>
      <c r="F111" s="13">
        <v>-20</v>
      </c>
      <c r="G111" s="13">
        <v>510</v>
      </c>
      <c r="H111" s="13">
        <v>71</v>
      </c>
      <c r="I111" s="13">
        <v>11</v>
      </c>
      <c r="J111" s="13" t="s">
        <v>545</v>
      </c>
      <c r="K111" s="13">
        <v>-21</v>
      </c>
      <c r="L111" s="13">
        <v>-55</v>
      </c>
      <c r="M111" s="13">
        <v>-32</v>
      </c>
      <c r="N111" s="13">
        <v>-47</v>
      </c>
      <c r="O111" s="13">
        <v>22</v>
      </c>
      <c r="P111" s="13">
        <v>102</v>
      </c>
      <c r="Q111" s="13">
        <v>-40</v>
      </c>
      <c r="R111" s="13">
        <v>-38</v>
      </c>
      <c r="S111" s="13">
        <v>-36</v>
      </c>
      <c r="T111" s="13">
        <v>-7</v>
      </c>
      <c r="U111" s="13">
        <v>-47</v>
      </c>
      <c r="V111" s="13">
        <v>-59</v>
      </c>
      <c r="W111" s="13">
        <v>44</v>
      </c>
      <c r="X111" s="13">
        <v>95</v>
      </c>
      <c r="Y111" s="13">
        <v>34</v>
      </c>
      <c r="Z111" s="13">
        <v>405</v>
      </c>
      <c r="AA111" s="13">
        <v>-40</v>
      </c>
      <c r="AB111" s="13">
        <v>2</v>
      </c>
      <c r="AC111" s="13">
        <v>-35</v>
      </c>
      <c r="AD111" s="13">
        <v>-39</v>
      </c>
      <c r="AE111" s="13">
        <v>99</v>
      </c>
      <c r="AF111" s="13">
        <v>-55</v>
      </c>
      <c r="AG111" s="13">
        <v>19</v>
      </c>
      <c r="AH111" s="13">
        <v>137</v>
      </c>
      <c r="AI111" s="13">
        <v>169</v>
      </c>
      <c r="AJ111" s="13">
        <v>82</v>
      </c>
      <c r="AK111" s="13">
        <v>351</v>
      </c>
      <c r="AL111" s="13">
        <v>24</v>
      </c>
      <c r="AM111" s="13">
        <v>347</v>
      </c>
      <c r="AN111" s="13">
        <v>74</v>
      </c>
      <c r="AO111" s="13">
        <v>52</v>
      </c>
      <c r="AP111" s="13">
        <v>165</v>
      </c>
      <c r="AQ111" s="13">
        <v>208</v>
      </c>
      <c r="AR111" s="13">
        <v>-29</v>
      </c>
      <c r="AS111" s="13">
        <v>5</v>
      </c>
      <c r="AT111" s="13">
        <v>-51</v>
      </c>
      <c r="AU111" s="13">
        <v>45</v>
      </c>
      <c r="AV111" s="13">
        <v>47</v>
      </c>
      <c r="AW111" s="13">
        <v>-59</v>
      </c>
      <c r="AX111" s="13">
        <v>-43</v>
      </c>
      <c r="AY111" s="13">
        <v>36</v>
      </c>
      <c r="AZ111" s="13" t="s">
        <v>1127</v>
      </c>
      <c r="BA111" s="13">
        <v>611</v>
      </c>
      <c r="BB111" s="13">
        <v>440</v>
      </c>
      <c r="BC111" s="13">
        <v>123</v>
      </c>
      <c r="BD111" s="13">
        <v>221</v>
      </c>
      <c r="BE111" s="13" t="s">
        <v>545</v>
      </c>
      <c r="BF111" s="13" t="s">
        <v>1128</v>
      </c>
      <c r="BG111" s="13" t="s">
        <v>1129</v>
      </c>
      <c r="BH111" s="13" t="s">
        <v>1130</v>
      </c>
      <c r="BI111" s="13" t="s">
        <v>1131</v>
      </c>
      <c r="BJ111" s="13" t="s">
        <v>1132</v>
      </c>
      <c r="BK111" s="13">
        <v>596</v>
      </c>
      <c r="BL111" s="13">
        <v>180</v>
      </c>
      <c r="BM111" s="13">
        <v>12</v>
      </c>
      <c r="BN111" s="13" t="s">
        <v>683</v>
      </c>
      <c r="BO111" s="13">
        <v>194</v>
      </c>
      <c r="BP111" s="13">
        <v>913</v>
      </c>
      <c r="BQ111" s="13" t="s">
        <v>783</v>
      </c>
      <c r="BR111" s="13">
        <v>-35</v>
      </c>
      <c r="BS111" s="13" t="s">
        <v>1133</v>
      </c>
      <c r="BT111" s="13">
        <v>248</v>
      </c>
      <c r="BU111" s="13">
        <v>660</v>
      </c>
      <c r="BV111" s="13">
        <v>-37</v>
      </c>
      <c r="BW111" s="13" t="s">
        <v>1134</v>
      </c>
      <c r="BX111" s="13">
        <v>578</v>
      </c>
      <c r="BY111" s="13">
        <v>355</v>
      </c>
      <c r="BZ111" s="13" t="s">
        <v>1135</v>
      </c>
      <c r="CA111" s="13" t="s">
        <v>545</v>
      </c>
      <c r="CB111" s="13">
        <v>352</v>
      </c>
      <c r="CC111" s="13">
        <v>398</v>
      </c>
      <c r="CD111" s="13">
        <v>92</v>
      </c>
      <c r="CE111" s="13">
        <v>331</v>
      </c>
      <c r="CF111" s="13">
        <v>392</v>
      </c>
      <c r="CG111" s="13">
        <v>-27</v>
      </c>
      <c r="CH111" s="13">
        <v>98</v>
      </c>
      <c r="CI111" s="13">
        <v>9</v>
      </c>
      <c r="CJ111" s="13">
        <v>-120</v>
      </c>
      <c r="CK111" s="13">
        <v>378</v>
      </c>
      <c r="CL111" s="13">
        <v>313</v>
      </c>
      <c r="CM111" s="13">
        <v>345</v>
      </c>
      <c r="CN111" s="13">
        <v>54</v>
      </c>
      <c r="CO111" s="13">
        <v>76</v>
      </c>
      <c r="CP111" s="13">
        <v>478</v>
      </c>
      <c r="CQ111" s="13" t="s">
        <v>545</v>
      </c>
      <c r="CR111" s="13">
        <v>626</v>
      </c>
      <c r="CS111" s="13">
        <v>240</v>
      </c>
      <c r="CT111" s="13">
        <v>462</v>
      </c>
      <c r="CU111" s="13">
        <v>52</v>
      </c>
      <c r="CV111" s="13">
        <v>-10</v>
      </c>
      <c r="CW111" s="13">
        <v>99</v>
      </c>
      <c r="CX111" s="13">
        <v>377</v>
      </c>
      <c r="CY111" s="13">
        <v>145</v>
      </c>
      <c r="CZ111" s="13">
        <v>30</v>
      </c>
      <c r="DA111" s="13">
        <v>508</v>
      </c>
      <c r="DB111" s="13" t="s">
        <v>545</v>
      </c>
      <c r="DC111" s="32" t="s">
        <v>1136</v>
      </c>
    </row>
    <row r="112" spans="1:107" ht="38">
      <c r="A112" s="9"/>
      <c r="B112" s="9" t="s">
        <v>320</v>
      </c>
      <c r="C112" s="13" t="s">
        <v>1137</v>
      </c>
      <c r="D112" s="13">
        <v>529</v>
      </c>
      <c r="E112" s="13">
        <v>441</v>
      </c>
      <c r="F112" s="13">
        <v>31</v>
      </c>
      <c r="G112" s="13" t="s">
        <v>1138</v>
      </c>
      <c r="H112" s="13" t="s">
        <v>865</v>
      </c>
      <c r="I112" s="13" t="s">
        <v>1139</v>
      </c>
      <c r="J112" s="13" t="s">
        <v>1140</v>
      </c>
      <c r="K112" s="13" t="s">
        <v>1141</v>
      </c>
      <c r="L112" s="13">
        <v>121</v>
      </c>
      <c r="M112" s="13" t="s">
        <v>1142</v>
      </c>
      <c r="N112" s="13">
        <v>956</v>
      </c>
      <c r="O112" s="13" t="s">
        <v>1143</v>
      </c>
      <c r="P112" s="13" t="s">
        <v>1144</v>
      </c>
      <c r="Q112" s="13">
        <v>905</v>
      </c>
      <c r="R112" s="13" t="s">
        <v>1145</v>
      </c>
      <c r="S112" s="13">
        <v>872</v>
      </c>
      <c r="T112" s="13" t="s">
        <v>1146</v>
      </c>
      <c r="U112" s="13" t="s">
        <v>613</v>
      </c>
      <c r="V112" s="13">
        <v>289</v>
      </c>
      <c r="W112" s="13" t="s">
        <v>1147</v>
      </c>
      <c r="X112" s="13" t="s">
        <v>1148</v>
      </c>
      <c r="Y112" s="13" t="s">
        <v>1149</v>
      </c>
      <c r="Z112" s="13">
        <v>744</v>
      </c>
      <c r="AA112" s="13" t="s">
        <v>1150</v>
      </c>
      <c r="AB112" s="13" t="s">
        <v>1151</v>
      </c>
      <c r="AC112" s="13">
        <v>949</v>
      </c>
      <c r="AD112" s="13">
        <v>605</v>
      </c>
      <c r="AE112" s="13" t="s">
        <v>1152</v>
      </c>
      <c r="AF112" s="13">
        <v>500</v>
      </c>
      <c r="AG112" s="13" t="s">
        <v>1153</v>
      </c>
      <c r="AH112" s="13" t="s">
        <v>1154</v>
      </c>
      <c r="AI112" s="13" t="s">
        <v>1130</v>
      </c>
      <c r="AJ112" s="13" t="s">
        <v>1155</v>
      </c>
      <c r="AK112" s="13" t="s">
        <v>1156</v>
      </c>
      <c r="AL112" s="13" t="s">
        <v>1157</v>
      </c>
      <c r="AM112" s="13" t="s">
        <v>1158</v>
      </c>
      <c r="AN112" s="13" t="s">
        <v>1159</v>
      </c>
      <c r="AO112" s="13" t="s">
        <v>1160</v>
      </c>
      <c r="AP112" s="13" t="s">
        <v>1161</v>
      </c>
      <c r="AQ112" s="13" t="s">
        <v>1162</v>
      </c>
      <c r="AR112" s="13" t="s">
        <v>1163</v>
      </c>
      <c r="AS112" s="13" t="s">
        <v>1164</v>
      </c>
      <c r="AT112" s="13">
        <v>564</v>
      </c>
      <c r="AU112" s="13" t="s">
        <v>1165</v>
      </c>
      <c r="AV112" s="13" t="s">
        <v>1166</v>
      </c>
      <c r="AW112" s="13">
        <v>774</v>
      </c>
      <c r="AX112" s="13" t="s">
        <v>1167</v>
      </c>
      <c r="AY112" s="13" t="s">
        <v>1168</v>
      </c>
      <c r="AZ112" s="13" t="s">
        <v>1169</v>
      </c>
      <c r="BA112" s="13" t="s">
        <v>1170</v>
      </c>
      <c r="BB112" s="13" t="s">
        <v>1171</v>
      </c>
      <c r="BC112" s="13" t="s">
        <v>1172</v>
      </c>
      <c r="BD112" s="13" t="s">
        <v>1173</v>
      </c>
      <c r="BE112" s="13">
        <v>248</v>
      </c>
      <c r="BF112" s="13" t="s">
        <v>1174</v>
      </c>
      <c r="BG112" s="13" t="s">
        <v>1175</v>
      </c>
      <c r="BH112" s="13" t="s">
        <v>1176</v>
      </c>
      <c r="BI112" s="13" t="s">
        <v>1177</v>
      </c>
      <c r="BJ112" s="13" t="s">
        <v>1178</v>
      </c>
      <c r="BK112" s="13" t="s">
        <v>1179</v>
      </c>
      <c r="BL112" s="13" t="s">
        <v>1180</v>
      </c>
      <c r="BM112" s="13" t="s">
        <v>1181</v>
      </c>
      <c r="BN112" s="13" t="s">
        <v>1182</v>
      </c>
      <c r="BO112" s="13" t="s">
        <v>1183</v>
      </c>
      <c r="BP112" s="13" t="s">
        <v>1184</v>
      </c>
      <c r="BQ112" s="13" t="s">
        <v>1185</v>
      </c>
      <c r="BR112" s="13" t="s">
        <v>1186</v>
      </c>
      <c r="BS112" s="13" t="s">
        <v>1187</v>
      </c>
      <c r="BT112" s="13" t="s">
        <v>1188</v>
      </c>
      <c r="BU112" s="13" t="s">
        <v>1189</v>
      </c>
      <c r="BV112" s="13" t="s">
        <v>1190</v>
      </c>
      <c r="BW112" s="13" t="s">
        <v>1191</v>
      </c>
      <c r="BX112" s="13" t="s">
        <v>1192</v>
      </c>
      <c r="BY112" s="13" t="s">
        <v>1193</v>
      </c>
      <c r="BZ112" s="13" t="s">
        <v>1194</v>
      </c>
      <c r="CA112" s="13" t="s">
        <v>545</v>
      </c>
      <c r="CB112" s="13" t="s">
        <v>1195</v>
      </c>
      <c r="CC112" s="13" t="s">
        <v>1196</v>
      </c>
      <c r="CD112" s="13" t="s">
        <v>1197</v>
      </c>
      <c r="CE112" s="13" t="s">
        <v>1198</v>
      </c>
      <c r="CF112" s="13" t="s">
        <v>1199</v>
      </c>
      <c r="CG112" s="13" t="s">
        <v>1200</v>
      </c>
      <c r="CH112" s="13" t="s">
        <v>1201</v>
      </c>
      <c r="CI112" s="13" t="s">
        <v>1202</v>
      </c>
      <c r="CJ112" s="13" t="s">
        <v>1203</v>
      </c>
      <c r="CK112" s="13" t="s">
        <v>1204</v>
      </c>
      <c r="CL112" s="13" t="s">
        <v>1205</v>
      </c>
      <c r="CM112" s="13" t="s">
        <v>1206</v>
      </c>
      <c r="CN112" s="13" t="s">
        <v>1207</v>
      </c>
      <c r="CO112" s="13" t="s">
        <v>1208</v>
      </c>
      <c r="CP112" s="13" t="s">
        <v>1209</v>
      </c>
      <c r="CQ112" s="13" t="s">
        <v>1210</v>
      </c>
      <c r="CR112" s="13" t="s">
        <v>1211</v>
      </c>
      <c r="CS112" s="13" t="s">
        <v>1212</v>
      </c>
      <c r="CT112" s="13" t="s">
        <v>1213</v>
      </c>
      <c r="CU112" s="13" t="s">
        <v>1214</v>
      </c>
      <c r="CV112" s="13" t="s">
        <v>1151</v>
      </c>
      <c r="CW112" s="13" t="s">
        <v>1215</v>
      </c>
      <c r="CX112" s="13" t="s">
        <v>1216</v>
      </c>
      <c r="CY112" s="13" t="s">
        <v>1217</v>
      </c>
      <c r="CZ112" s="13" t="s">
        <v>548</v>
      </c>
      <c r="DA112" s="13" t="s">
        <v>1218</v>
      </c>
      <c r="DB112" s="13" t="s">
        <v>1219</v>
      </c>
      <c r="DC112" s="32" t="s">
        <v>1220</v>
      </c>
    </row>
    <row r="113" spans="1:107" ht="38">
      <c r="A113" s="21"/>
      <c r="B113" s="14" t="s">
        <v>321</v>
      </c>
      <c r="C113" s="15" t="s">
        <v>1221</v>
      </c>
      <c r="D113" s="15">
        <v>543</v>
      </c>
      <c r="E113" s="15">
        <v>419</v>
      </c>
      <c r="F113" s="15">
        <v>15</v>
      </c>
      <c r="G113" s="15" t="s">
        <v>1222</v>
      </c>
      <c r="H113" s="15" t="s">
        <v>1223</v>
      </c>
      <c r="I113" s="15">
        <v>435</v>
      </c>
      <c r="J113" s="15" t="s">
        <v>1224</v>
      </c>
      <c r="K113" s="15">
        <v>939</v>
      </c>
      <c r="L113" s="15">
        <v>82</v>
      </c>
      <c r="M113" s="15">
        <v>902</v>
      </c>
      <c r="N113" s="15">
        <v>991</v>
      </c>
      <c r="O113" s="15" t="s">
        <v>1225</v>
      </c>
      <c r="P113" s="15" t="s">
        <v>1226</v>
      </c>
      <c r="Q113" s="15">
        <v>692</v>
      </c>
      <c r="R113" s="15" t="s">
        <v>1227</v>
      </c>
      <c r="S113" s="15" t="s">
        <v>998</v>
      </c>
      <c r="T113" s="15" t="s">
        <v>1228</v>
      </c>
      <c r="U113" s="15">
        <v>560</v>
      </c>
      <c r="V113" s="15">
        <v>265</v>
      </c>
      <c r="W113" s="15" t="s">
        <v>1229</v>
      </c>
      <c r="X113" s="15" t="s">
        <v>736</v>
      </c>
      <c r="Y113" s="15" t="s">
        <v>1230</v>
      </c>
      <c r="Z113" s="15" t="s">
        <v>1231</v>
      </c>
      <c r="AA113" s="15">
        <v>293</v>
      </c>
      <c r="AB113" s="15" t="s">
        <v>1232</v>
      </c>
      <c r="AC113" s="15">
        <v>690</v>
      </c>
      <c r="AD113" s="15">
        <v>988</v>
      </c>
      <c r="AE113" s="15">
        <v>574</v>
      </c>
      <c r="AF113" s="15">
        <v>313</v>
      </c>
      <c r="AG113" s="15" t="s">
        <v>657</v>
      </c>
      <c r="AH113" s="15" t="s">
        <v>1233</v>
      </c>
      <c r="AI113" s="15" t="s">
        <v>1234</v>
      </c>
      <c r="AJ113" s="15" t="s">
        <v>1235</v>
      </c>
      <c r="AK113" s="15">
        <v>789</v>
      </c>
      <c r="AL113" s="15" t="s">
        <v>1236</v>
      </c>
      <c r="AM113" s="15" t="s">
        <v>1237</v>
      </c>
      <c r="AN113" s="15" t="s">
        <v>1238</v>
      </c>
      <c r="AO113" s="15" t="s">
        <v>1239</v>
      </c>
      <c r="AP113" s="15" t="s">
        <v>1240</v>
      </c>
      <c r="AQ113" s="15" t="s">
        <v>1241</v>
      </c>
      <c r="AR113" s="15">
        <v>493</v>
      </c>
      <c r="AS113" s="15" t="s">
        <v>1242</v>
      </c>
      <c r="AT113" s="15">
        <v>182</v>
      </c>
      <c r="AU113" s="15" t="s">
        <v>740</v>
      </c>
      <c r="AV113" s="15" t="s">
        <v>1243</v>
      </c>
      <c r="AW113" s="15">
        <v>449</v>
      </c>
      <c r="AX113" s="15">
        <v>695</v>
      </c>
      <c r="AY113" s="15" t="s">
        <v>1244</v>
      </c>
      <c r="AZ113" s="15" t="s">
        <v>1245</v>
      </c>
      <c r="BA113" s="15" t="s">
        <v>1246</v>
      </c>
      <c r="BB113" s="15" t="s">
        <v>1247</v>
      </c>
      <c r="BC113" s="15" t="s">
        <v>1248</v>
      </c>
      <c r="BD113" s="15" t="s">
        <v>1249</v>
      </c>
      <c r="BE113" s="15">
        <v>325</v>
      </c>
      <c r="BF113" s="15" t="s">
        <v>1250</v>
      </c>
      <c r="BG113" s="15" t="s">
        <v>1251</v>
      </c>
      <c r="BH113" s="15" t="s">
        <v>1252</v>
      </c>
      <c r="BI113" s="15" t="s">
        <v>1253</v>
      </c>
      <c r="BJ113" s="15" t="s">
        <v>1254</v>
      </c>
      <c r="BK113" s="15" t="s">
        <v>637</v>
      </c>
      <c r="BL113" s="15" t="s">
        <v>1255</v>
      </c>
      <c r="BM113" s="15">
        <v>868</v>
      </c>
      <c r="BN113" s="15" t="s">
        <v>1256</v>
      </c>
      <c r="BO113" s="15" t="s">
        <v>1257</v>
      </c>
      <c r="BP113" s="15" t="s">
        <v>1258</v>
      </c>
      <c r="BQ113" s="15" t="s">
        <v>1259</v>
      </c>
      <c r="BR113" s="15" t="s">
        <v>1260</v>
      </c>
      <c r="BS113" s="15" t="s">
        <v>1261</v>
      </c>
      <c r="BT113" s="15" t="s">
        <v>1262</v>
      </c>
      <c r="BU113" s="15" t="s">
        <v>1263</v>
      </c>
      <c r="BV113" s="15" t="s">
        <v>1264</v>
      </c>
      <c r="BW113" s="15" t="s">
        <v>1265</v>
      </c>
      <c r="BX113" s="15" t="s">
        <v>1266</v>
      </c>
      <c r="BY113" s="15" t="s">
        <v>1267</v>
      </c>
      <c r="BZ113" s="15" t="s">
        <v>1268</v>
      </c>
      <c r="CA113" s="15" t="s">
        <v>1269</v>
      </c>
      <c r="CB113" s="15" t="s">
        <v>1255</v>
      </c>
      <c r="CC113" s="15" t="s">
        <v>1270</v>
      </c>
      <c r="CD113" s="15" t="s">
        <v>1271</v>
      </c>
      <c r="CE113" s="15" t="s">
        <v>1272</v>
      </c>
      <c r="CF113" s="15" t="s">
        <v>1273</v>
      </c>
      <c r="CG113" s="15" t="s">
        <v>1274</v>
      </c>
      <c r="CH113" s="15" t="s">
        <v>1275</v>
      </c>
      <c r="CI113" s="15" t="s">
        <v>1276</v>
      </c>
      <c r="CJ113" s="15" t="s">
        <v>1277</v>
      </c>
      <c r="CK113" s="15" t="s">
        <v>1278</v>
      </c>
      <c r="CL113" s="15" t="s">
        <v>1279</v>
      </c>
      <c r="CM113" s="15" t="s">
        <v>1280</v>
      </c>
      <c r="CN113" s="15" t="s">
        <v>1281</v>
      </c>
      <c r="CO113" s="15" t="s">
        <v>1282</v>
      </c>
      <c r="CP113" s="15" t="s">
        <v>1283</v>
      </c>
      <c r="CQ113" s="15" t="s">
        <v>1284</v>
      </c>
      <c r="CR113" s="15" t="s">
        <v>1285</v>
      </c>
      <c r="CS113" s="15" t="s">
        <v>1286</v>
      </c>
      <c r="CT113" s="15" t="s">
        <v>1287</v>
      </c>
      <c r="CU113" s="15" t="s">
        <v>1288</v>
      </c>
      <c r="CV113" s="15">
        <v>801</v>
      </c>
      <c r="CW113" s="15" t="s">
        <v>884</v>
      </c>
      <c r="CX113" s="15" t="s">
        <v>1289</v>
      </c>
      <c r="CY113" s="15" t="s">
        <v>1290</v>
      </c>
      <c r="CZ113" s="15" t="s">
        <v>1291</v>
      </c>
      <c r="DA113" s="15" t="s">
        <v>1292</v>
      </c>
      <c r="DB113" s="15" t="s">
        <v>545</v>
      </c>
      <c r="DC113" s="34" t="s">
        <v>1293</v>
      </c>
    </row>
    <row r="114" spans="1:107" ht="38">
      <c r="A114" s="21"/>
      <c r="B114" s="14" t="s">
        <v>322</v>
      </c>
      <c r="C114" s="15" t="s">
        <v>1294</v>
      </c>
      <c r="D114" s="15" t="s">
        <v>1295</v>
      </c>
      <c r="E114" s="15">
        <v>865</v>
      </c>
      <c r="F114" s="15">
        <v>26</v>
      </c>
      <c r="G114" s="15" t="s">
        <v>1296</v>
      </c>
      <c r="H114" s="15" t="s">
        <v>1297</v>
      </c>
      <c r="I114" s="15" t="s">
        <v>1298</v>
      </c>
      <c r="J114" s="15" t="s">
        <v>1299</v>
      </c>
      <c r="K114" s="15" t="s">
        <v>1300</v>
      </c>
      <c r="L114" s="15">
        <v>148</v>
      </c>
      <c r="M114" s="15" t="s">
        <v>1078</v>
      </c>
      <c r="N114" s="15" t="s">
        <v>1301</v>
      </c>
      <c r="O114" s="15" t="s">
        <v>1302</v>
      </c>
      <c r="P114" s="15" t="s">
        <v>1303</v>
      </c>
      <c r="Q114" s="15" t="s">
        <v>1304</v>
      </c>
      <c r="R114" s="15" t="s">
        <v>1305</v>
      </c>
      <c r="S114" s="15" t="s">
        <v>1306</v>
      </c>
      <c r="T114" s="15" t="s">
        <v>1307</v>
      </c>
      <c r="U114" s="15" t="s">
        <v>1308</v>
      </c>
      <c r="V114" s="15">
        <v>495</v>
      </c>
      <c r="W114" s="15" t="s">
        <v>1309</v>
      </c>
      <c r="X114" s="15" t="s">
        <v>1310</v>
      </c>
      <c r="Y114" s="15" t="s">
        <v>1311</v>
      </c>
      <c r="Z114" s="15" t="s">
        <v>1312</v>
      </c>
      <c r="AA114" s="15" t="s">
        <v>1313</v>
      </c>
      <c r="AB114" s="15" t="s">
        <v>1314</v>
      </c>
      <c r="AC114" s="15" t="s">
        <v>1315</v>
      </c>
      <c r="AD114" s="15" t="s">
        <v>1316</v>
      </c>
      <c r="AE114" s="15" t="s">
        <v>1317</v>
      </c>
      <c r="AF114" s="15">
        <v>758</v>
      </c>
      <c r="AG114" s="15" t="s">
        <v>1318</v>
      </c>
      <c r="AH114" s="15" t="s">
        <v>1319</v>
      </c>
      <c r="AI114" s="15" t="s">
        <v>1320</v>
      </c>
      <c r="AJ114" s="15" t="s">
        <v>1321</v>
      </c>
      <c r="AK114" s="15" t="s">
        <v>1322</v>
      </c>
      <c r="AL114" s="15" t="s">
        <v>1323</v>
      </c>
      <c r="AM114" s="15" t="s">
        <v>1324</v>
      </c>
      <c r="AN114" s="15" t="s">
        <v>1325</v>
      </c>
      <c r="AO114" s="15" t="s">
        <v>1326</v>
      </c>
      <c r="AP114" s="15" t="s">
        <v>1327</v>
      </c>
      <c r="AQ114" s="15" t="s">
        <v>1328</v>
      </c>
      <c r="AR114" s="15" t="s">
        <v>1329</v>
      </c>
      <c r="AS114" s="15" t="s">
        <v>1330</v>
      </c>
      <c r="AT114" s="15">
        <v>695</v>
      </c>
      <c r="AU114" s="15" t="s">
        <v>1331</v>
      </c>
      <c r="AV114" s="15" t="s">
        <v>1332</v>
      </c>
      <c r="AW114" s="15" t="s">
        <v>1225</v>
      </c>
      <c r="AX114" s="15" t="s">
        <v>1239</v>
      </c>
      <c r="AY114" s="15" t="s">
        <v>598</v>
      </c>
      <c r="AZ114" s="15" t="s">
        <v>1333</v>
      </c>
      <c r="BA114" s="15" t="s">
        <v>1334</v>
      </c>
      <c r="BB114" s="15" t="s">
        <v>1335</v>
      </c>
      <c r="BC114" s="15" t="s">
        <v>1336</v>
      </c>
      <c r="BD114" s="15" t="s">
        <v>1337</v>
      </c>
      <c r="BE114" s="15">
        <v>573</v>
      </c>
      <c r="BF114" s="15" t="s">
        <v>1338</v>
      </c>
      <c r="BG114" s="15" t="s">
        <v>1339</v>
      </c>
      <c r="BH114" s="15" t="s">
        <v>1340</v>
      </c>
      <c r="BI114" s="15" t="s">
        <v>1341</v>
      </c>
      <c r="BJ114" s="15" t="s">
        <v>1342</v>
      </c>
      <c r="BK114" s="15" t="s">
        <v>1343</v>
      </c>
      <c r="BL114" s="15" t="s">
        <v>1344</v>
      </c>
      <c r="BM114" s="15" t="s">
        <v>1345</v>
      </c>
      <c r="BN114" s="15" t="s">
        <v>1346</v>
      </c>
      <c r="BO114" s="15" t="s">
        <v>1347</v>
      </c>
      <c r="BP114" s="15" t="s">
        <v>1348</v>
      </c>
      <c r="BQ114" s="15" t="s">
        <v>1349</v>
      </c>
      <c r="BR114" s="15" t="s">
        <v>1350</v>
      </c>
      <c r="BS114" s="15" t="s">
        <v>1351</v>
      </c>
      <c r="BT114" s="15" t="s">
        <v>1352</v>
      </c>
      <c r="BU114" s="15" t="s">
        <v>1353</v>
      </c>
      <c r="BV114" s="15" t="s">
        <v>1354</v>
      </c>
      <c r="BW114" s="15" t="s">
        <v>1355</v>
      </c>
      <c r="BX114" s="15" t="s">
        <v>1356</v>
      </c>
      <c r="BY114" s="15" t="s">
        <v>1357</v>
      </c>
      <c r="BZ114" s="15" t="s">
        <v>1358</v>
      </c>
      <c r="CA114" s="15" t="s">
        <v>1269</v>
      </c>
      <c r="CB114" s="15" t="s">
        <v>1359</v>
      </c>
      <c r="CC114" s="15" t="s">
        <v>1360</v>
      </c>
      <c r="CD114" s="15" t="s">
        <v>1361</v>
      </c>
      <c r="CE114" s="15" t="s">
        <v>1362</v>
      </c>
      <c r="CF114" s="15" t="s">
        <v>1363</v>
      </c>
      <c r="CG114" s="15" t="s">
        <v>1364</v>
      </c>
      <c r="CH114" s="15" t="s">
        <v>1365</v>
      </c>
      <c r="CI114" s="15" t="s">
        <v>1366</v>
      </c>
      <c r="CJ114" s="15" t="s">
        <v>1367</v>
      </c>
      <c r="CK114" s="15" t="s">
        <v>1368</v>
      </c>
      <c r="CL114" s="15" t="s">
        <v>1369</v>
      </c>
      <c r="CM114" s="15" t="s">
        <v>1370</v>
      </c>
      <c r="CN114" s="15" t="s">
        <v>1371</v>
      </c>
      <c r="CO114" s="15" t="s">
        <v>1372</v>
      </c>
      <c r="CP114" s="15" t="s">
        <v>1373</v>
      </c>
      <c r="CQ114" s="15" t="s">
        <v>1374</v>
      </c>
      <c r="CR114" s="15" t="s">
        <v>1375</v>
      </c>
      <c r="CS114" s="15" t="s">
        <v>1376</v>
      </c>
      <c r="CT114" s="15" t="s">
        <v>1377</v>
      </c>
      <c r="CU114" s="15" t="s">
        <v>1378</v>
      </c>
      <c r="CV114" s="15" t="s">
        <v>1379</v>
      </c>
      <c r="CW114" s="15" t="s">
        <v>1380</v>
      </c>
      <c r="CX114" s="15" t="s">
        <v>1381</v>
      </c>
      <c r="CY114" s="15" t="s">
        <v>1382</v>
      </c>
      <c r="CZ114" s="15" t="s">
        <v>1383</v>
      </c>
      <c r="DA114" s="15" t="s">
        <v>1384</v>
      </c>
      <c r="DB114" s="15" t="s">
        <v>1219</v>
      </c>
      <c r="DC114" s="34" t="s">
        <v>1385</v>
      </c>
    </row>
    <row r="115" spans="1:107" ht="39" thickBot="1">
      <c r="A115" s="4"/>
      <c r="B115" s="4" t="s">
        <v>323</v>
      </c>
      <c r="C115" s="20" t="s">
        <v>1386</v>
      </c>
      <c r="D115" s="20" t="s">
        <v>988</v>
      </c>
      <c r="E115" s="20" t="s">
        <v>1387</v>
      </c>
      <c r="F115" s="20">
        <v>100</v>
      </c>
      <c r="G115" s="20" t="s">
        <v>1388</v>
      </c>
      <c r="H115" s="20" t="s">
        <v>1389</v>
      </c>
      <c r="I115" s="20" t="s">
        <v>1390</v>
      </c>
      <c r="J115" s="20" t="s">
        <v>1391</v>
      </c>
      <c r="K115" s="20" t="s">
        <v>1392</v>
      </c>
      <c r="L115" s="20" t="s">
        <v>1393</v>
      </c>
      <c r="M115" s="20" t="s">
        <v>1394</v>
      </c>
      <c r="N115" s="20" t="s">
        <v>1395</v>
      </c>
      <c r="O115" s="20" t="s">
        <v>1396</v>
      </c>
      <c r="P115" s="20" t="s">
        <v>1397</v>
      </c>
      <c r="Q115" s="20" t="s">
        <v>1398</v>
      </c>
      <c r="R115" s="20" t="s">
        <v>1399</v>
      </c>
      <c r="S115" s="20" t="s">
        <v>1400</v>
      </c>
      <c r="T115" s="20" t="s">
        <v>1401</v>
      </c>
      <c r="U115" s="20" t="s">
        <v>644</v>
      </c>
      <c r="V115" s="20" t="s">
        <v>1402</v>
      </c>
      <c r="W115" s="20" t="s">
        <v>1403</v>
      </c>
      <c r="X115" s="20" t="s">
        <v>1404</v>
      </c>
      <c r="Y115" s="20" t="s">
        <v>1405</v>
      </c>
      <c r="Z115" s="20" t="s">
        <v>1406</v>
      </c>
      <c r="AA115" s="20" t="s">
        <v>1407</v>
      </c>
      <c r="AB115" s="20" t="s">
        <v>1408</v>
      </c>
      <c r="AC115" s="20" t="s">
        <v>1409</v>
      </c>
      <c r="AD115" s="20" t="s">
        <v>1410</v>
      </c>
      <c r="AE115" s="20" t="s">
        <v>1103</v>
      </c>
      <c r="AF115" s="20" t="s">
        <v>1411</v>
      </c>
      <c r="AG115" s="20" t="s">
        <v>1412</v>
      </c>
      <c r="AH115" s="20" t="s">
        <v>1413</v>
      </c>
      <c r="AI115" s="20" t="s">
        <v>1414</v>
      </c>
      <c r="AJ115" s="20" t="s">
        <v>1415</v>
      </c>
      <c r="AK115" s="20" t="s">
        <v>1416</v>
      </c>
      <c r="AL115" s="20" t="s">
        <v>1417</v>
      </c>
      <c r="AM115" s="20" t="s">
        <v>1418</v>
      </c>
      <c r="AN115" s="20" t="s">
        <v>1419</v>
      </c>
      <c r="AO115" s="20" t="s">
        <v>1420</v>
      </c>
      <c r="AP115" s="20" t="s">
        <v>1421</v>
      </c>
      <c r="AQ115" s="20" t="s">
        <v>1422</v>
      </c>
      <c r="AR115" s="20" t="s">
        <v>1423</v>
      </c>
      <c r="AS115" s="20" t="s">
        <v>1424</v>
      </c>
      <c r="AT115" s="20" t="s">
        <v>1425</v>
      </c>
      <c r="AU115" s="20" t="s">
        <v>1426</v>
      </c>
      <c r="AV115" s="20" t="s">
        <v>1427</v>
      </c>
      <c r="AW115" s="20" t="s">
        <v>1428</v>
      </c>
      <c r="AX115" s="20" t="s">
        <v>1429</v>
      </c>
      <c r="AY115" s="20" t="s">
        <v>1430</v>
      </c>
      <c r="AZ115" s="20" t="s">
        <v>1431</v>
      </c>
      <c r="BA115" s="20" t="s">
        <v>1432</v>
      </c>
      <c r="BB115" s="20" t="s">
        <v>1433</v>
      </c>
      <c r="BC115" s="20" t="s">
        <v>1434</v>
      </c>
      <c r="BD115" s="20" t="s">
        <v>1435</v>
      </c>
      <c r="BE115" s="20" t="s">
        <v>868</v>
      </c>
      <c r="BF115" s="20" t="s">
        <v>1436</v>
      </c>
      <c r="BG115" s="20" t="s">
        <v>1437</v>
      </c>
      <c r="BH115" s="20" t="s">
        <v>1438</v>
      </c>
      <c r="BI115" s="20" t="s">
        <v>1439</v>
      </c>
      <c r="BJ115" s="20" t="s">
        <v>1440</v>
      </c>
      <c r="BK115" s="20" t="s">
        <v>1441</v>
      </c>
      <c r="BL115" s="20" t="s">
        <v>1442</v>
      </c>
      <c r="BM115" s="20" t="s">
        <v>1443</v>
      </c>
      <c r="BN115" s="20" t="s">
        <v>1444</v>
      </c>
      <c r="BO115" s="20" t="s">
        <v>1445</v>
      </c>
      <c r="BP115" s="20" t="s">
        <v>1446</v>
      </c>
      <c r="BQ115" s="20" t="s">
        <v>1447</v>
      </c>
      <c r="BR115" s="20" t="s">
        <v>1448</v>
      </c>
      <c r="BS115" s="20" t="s">
        <v>1449</v>
      </c>
      <c r="BT115" s="20" t="s">
        <v>1450</v>
      </c>
      <c r="BU115" s="20" t="s">
        <v>1451</v>
      </c>
      <c r="BV115" s="20" t="s">
        <v>1452</v>
      </c>
      <c r="BW115" s="20" t="s">
        <v>1453</v>
      </c>
      <c r="BX115" s="20" t="s">
        <v>1454</v>
      </c>
      <c r="BY115" s="20" t="s">
        <v>1455</v>
      </c>
      <c r="BZ115" s="20" t="s">
        <v>1456</v>
      </c>
      <c r="CA115" s="20" t="s">
        <v>1457</v>
      </c>
      <c r="CB115" s="20" t="s">
        <v>1458</v>
      </c>
      <c r="CC115" s="20" t="s">
        <v>1459</v>
      </c>
      <c r="CD115" s="20" t="s">
        <v>1460</v>
      </c>
      <c r="CE115" s="20" t="s">
        <v>1461</v>
      </c>
      <c r="CF115" s="20" t="s">
        <v>1462</v>
      </c>
      <c r="CG115" s="20" t="s">
        <v>1463</v>
      </c>
      <c r="CH115" s="20" t="s">
        <v>1464</v>
      </c>
      <c r="CI115" s="20" t="s">
        <v>1465</v>
      </c>
      <c r="CJ115" s="20" t="s">
        <v>1466</v>
      </c>
      <c r="CK115" s="20" t="s">
        <v>1467</v>
      </c>
      <c r="CL115" s="20" t="s">
        <v>1468</v>
      </c>
      <c r="CM115" s="20" t="s">
        <v>1469</v>
      </c>
      <c r="CN115" s="20" t="s">
        <v>1470</v>
      </c>
      <c r="CO115" s="20" t="s">
        <v>1471</v>
      </c>
      <c r="CP115" s="20" t="s">
        <v>1472</v>
      </c>
      <c r="CQ115" s="20" t="s">
        <v>1473</v>
      </c>
      <c r="CR115" s="20" t="s">
        <v>1474</v>
      </c>
      <c r="CS115" s="20" t="s">
        <v>1475</v>
      </c>
      <c r="CT115" s="20" t="s">
        <v>1476</v>
      </c>
      <c r="CU115" s="20" t="s">
        <v>1477</v>
      </c>
      <c r="CV115" s="20" t="s">
        <v>1478</v>
      </c>
      <c r="CW115" s="20" t="s">
        <v>1479</v>
      </c>
      <c r="CX115" s="20" t="s">
        <v>1480</v>
      </c>
      <c r="CY115" s="20" t="s">
        <v>1481</v>
      </c>
      <c r="CZ115" s="20" t="s">
        <v>1482</v>
      </c>
      <c r="DA115" s="20" t="s">
        <v>1483</v>
      </c>
      <c r="DB115" s="20" t="s">
        <v>1219</v>
      </c>
      <c r="DC115" s="36" t="s">
        <v>1484</v>
      </c>
    </row>
  </sheetData>
  <mergeCells count="12">
    <mergeCell ref="BC3:BI3"/>
    <mergeCell ref="BJ3:BR3"/>
    <mergeCell ref="BS3:BZ3"/>
    <mergeCell ref="CA3:CI3"/>
    <mergeCell ref="CJ3:CR3"/>
    <mergeCell ref="CS3:DA3"/>
    <mergeCell ref="C3:K3"/>
    <mergeCell ref="L3:S3"/>
    <mergeCell ref="T3:AB3"/>
    <mergeCell ref="AC3:AK3"/>
    <mergeCell ref="AL3:AS3"/>
    <mergeCell ref="AT3:BB3"/>
  </mergeCells>
  <hyperlinks>
    <hyperlink ref="A2" r:id="rId1" location="'Contents'!$A$219" display="applewebdata://90439E7E-5582-441F-8603-E7E7E4126FDE/ - 'Contents'!$A$219" xr:uid="{7E53CF69-5D2C-2140-9459-88DEFC14BFD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2E99-AA45-5840-A45C-ECBDF672933F}">
  <dimension ref="A1:D223"/>
  <sheetViews>
    <sheetView topLeftCell="A193" workbookViewId="0">
      <selection activeCell="B220" sqref="B220"/>
    </sheetView>
  </sheetViews>
  <sheetFormatPr baseColWidth="10" defaultColWidth="10.1640625" defaultRowHeight="18"/>
  <cols>
    <col min="1" max="1" width="10.1640625" style="43"/>
    <col min="2" max="2" width="111" style="43" customWidth="1"/>
    <col min="3" max="3" width="20" style="43" customWidth="1"/>
    <col min="4" max="4" width="0.1640625" style="42" customWidth="1"/>
    <col min="5" max="257" width="10.1640625" style="43"/>
    <col min="258" max="258" width="105.6640625" style="43" customWidth="1"/>
    <col min="259" max="259" width="18.83203125" style="43" customWidth="1"/>
    <col min="260" max="260" width="0.1640625" style="43" customWidth="1"/>
    <col min="261" max="513" width="10.1640625" style="43"/>
    <col min="514" max="514" width="105.6640625" style="43" customWidth="1"/>
    <col min="515" max="515" width="18.83203125" style="43" customWidth="1"/>
    <col min="516" max="516" width="0.1640625" style="43" customWidth="1"/>
    <col min="517" max="769" width="10.1640625" style="43"/>
    <col min="770" max="770" width="105.6640625" style="43" customWidth="1"/>
    <col min="771" max="771" width="18.83203125" style="43" customWidth="1"/>
    <col min="772" max="772" width="0.1640625" style="43" customWidth="1"/>
    <col min="773" max="1025" width="10.1640625" style="43"/>
    <col min="1026" max="1026" width="105.6640625" style="43" customWidth="1"/>
    <col min="1027" max="1027" width="18.83203125" style="43" customWidth="1"/>
    <col min="1028" max="1028" width="0.1640625" style="43" customWidth="1"/>
    <col min="1029" max="1281" width="10.1640625" style="43"/>
    <col min="1282" max="1282" width="105.6640625" style="43" customWidth="1"/>
    <col min="1283" max="1283" width="18.83203125" style="43" customWidth="1"/>
    <col min="1284" max="1284" width="0.1640625" style="43" customWidth="1"/>
    <col min="1285" max="1537" width="10.1640625" style="43"/>
    <col min="1538" max="1538" width="105.6640625" style="43" customWidth="1"/>
    <col min="1539" max="1539" width="18.83203125" style="43" customWidth="1"/>
    <col min="1540" max="1540" width="0.1640625" style="43" customWidth="1"/>
    <col min="1541" max="1793" width="10.1640625" style="43"/>
    <col min="1794" max="1794" width="105.6640625" style="43" customWidth="1"/>
    <col min="1795" max="1795" width="18.83203125" style="43" customWidth="1"/>
    <col min="1796" max="1796" width="0.1640625" style="43" customWidth="1"/>
    <col min="1797" max="2049" width="10.1640625" style="43"/>
    <col min="2050" max="2050" width="105.6640625" style="43" customWidth="1"/>
    <col min="2051" max="2051" width="18.83203125" style="43" customWidth="1"/>
    <col min="2052" max="2052" width="0.1640625" style="43" customWidth="1"/>
    <col min="2053" max="2305" width="10.1640625" style="43"/>
    <col min="2306" max="2306" width="105.6640625" style="43" customWidth="1"/>
    <col min="2307" max="2307" width="18.83203125" style="43" customWidth="1"/>
    <col min="2308" max="2308" width="0.1640625" style="43" customWidth="1"/>
    <col min="2309" max="2561" width="10.1640625" style="43"/>
    <col min="2562" max="2562" width="105.6640625" style="43" customWidth="1"/>
    <col min="2563" max="2563" width="18.83203125" style="43" customWidth="1"/>
    <col min="2564" max="2564" width="0.1640625" style="43" customWidth="1"/>
    <col min="2565" max="2817" width="10.1640625" style="43"/>
    <col min="2818" max="2818" width="105.6640625" style="43" customWidth="1"/>
    <col min="2819" max="2819" width="18.83203125" style="43" customWidth="1"/>
    <col min="2820" max="2820" width="0.1640625" style="43" customWidth="1"/>
    <col min="2821" max="3073" width="10.1640625" style="43"/>
    <col min="3074" max="3074" width="105.6640625" style="43" customWidth="1"/>
    <col min="3075" max="3075" width="18.83203125" style="43" customWidth="1"/>
    <col min="3076" max="3076" width="0.1640625" style="43" customWidth="1"/>
    <col min="3077" max="3329" width="10.1640625" style="43"/>
    <col min="3330" max="3330" width="105.6640625" style="43" customWidth="1"/>
    <col min="3331" max="3331" width="18.83203125" style="43" customWidth="1"/>
    <col min="3332" max="3332" width="0.1640625" style="43" customWidth="1"/>
    <col min="3333" max="3585" width="10.1640625" style="43"/>
    <col min="3586" max="3586" width="105.6640625" style="43" customWidth="1"/>
    <col min="3587" max="3587" width="18.83203125" style="43" customWidth="1"/>
    <col min="3588" max="3588" width="0.1640625" style="43" customWidth="1"/>
    <col min="3589" max="3841" width="10.1640625" style="43"/>
    <col min="3842" max="3842" width="105.6640625" style="43" customWidth="1"/>
    <col min="3843" max="3843" width="18.83203125" style="43" customWidth="1"/>
    <col min="3844" max="3844" width="0.1640625" style="43" customWidth="1"/>
    <col min="3845" max="4097" width="10.1640625" style="43"/>
    <col min="4098" max="4098" width="105.6640625" style="43" customWidth="1"/>
    <col min="4099" max="4099" width="18.83203125" style="43" customWidth="1"/>
    <col min="4100" max="4100" width="0.1640625" style="43" customWidth="1"/>
    <col min="4101" max="4353" width="10.1640625" style="43"/>
    <col min="4354" max="4354" width="105.6640625" style="43" customWidth="1"/>
    <col min="4355" max="4355" width="18.83203125" style="43" customWidth="1"/>
    <col min="4356" max="4356" width="0.1640625" style="43" customWidth="1"/>
    <col min="4357" max="4609" width="10.1640625" style="43"/>
    <col min="4610" max="4610" width="105.6640625" style="43" customWidth="1"/>
    <col min="4611" max="4611" width="18.83203125" style="43" customWidth="1"/>
    <col min="4612" max="4612" width="0.1640625" style="43" customWidth="1"/>
    <col min="4613" max="4865" width="10.1640625" style="43"/>
    <col min="4866" max="4866" width="105.6640625" style="43" customWidth="1"/>
    <col min="4867" max="4867" width="18.83203125" style="43" customWidth="1"/>
    <col min="4868" max="4868" width="0.1640625" style="43" customWidth="1"/>
    <col min="4869" max="5121" width="10.1640625" style="43"/>
    <col min="5122" max="5122" width="105.6640625" style="43" customWidth="1"/>
    <col min="5123" max="5123" width="18.83203125" style="43" customWidth="1"/>
    <col min="5124" max="5124" width="0.1640625" style="43" customWidth="1"/>
    <col min="5125" max="5377" width="10.1640625" style="43"/>
    <col min="5378" max="5378" width="105.6640625" style="43" customWidth="1"/>
    <col min="5379" max="5379" width="18.83203125" style="43" customWidth="1"/>
    <col min="5380" max="5380" width="0.1640625" style="43" customWidth="1"/>
    <col min="5381" max="5633" width="10.1640625" style="43"/>
    <col min="5634" max="5634" width="105.6640625" style="43" customWidth="1"/>
    <col min="5635" max="5635" width="18.83203125" style="43" customWidth="1"/>
    <col min="5636" max="5636" width="0.1640625" style="43" customWidth="1"/>
    <col min="5637" max="5889" width="10.1640625" style="43"/>
    <col min="5890" max="5890" width="105.6640625" style="43" customWidth="1"/>
    <col min="5891" max="5891" width="18.83203125" style="43" customWidth="1"/>
    <col min="5892" max="5892" width="0.1640625" style="43" customWidth="1"/>
    <col min="5893" max="6145" width="10.1640625" style="43"/>
    <col min="6146" max="6146" width="105.6640625" style="43" customWidth="1"/>
    <col min="6147" max="6147" width="18.83203125" style="43" customWidth="1"/>
    <col min="6148" max="6148" width="0.1640625" style="43" customWidth="1"/>
    <col min="6149" max="6401" width="10.1640625" style="43"/>
    <col min="6402" max="6402" width="105.6640625" style="43" customWidth="1"/>
    <col min="6403" max="6403" width="18.83203125" style="43" customWidth="1"/>
    <col min="6404" max="6404" width="0.1640625" style="43" customWidth="1"/>
    <col min="6405" max="6657" width="10.1640625" style="43"/>
    <col min="6658" max="6658" width="105.6640625" style="43" customWidth="1"/>
    <col min="6659" max="6659" width="18.83203125" style="43" customWidth="1"/>
    <col min="6660" max="6660" width="0.1640625" style="43" customWidth="1"/>
    <col min="6661" max="6913" width="10.1640625" style="43"/>
    <col min="6914" max="6914" width="105.6640625" style="43" customWidth="1"/>
    <col min="6915" max="6915" width="18.83203125" style="43" customWidth="1"/>
    <col min="6916" max="6916" width="0.1640625" style="43" customWidth="1"/>
    <col min="6917" max="7169" width="10.1640625" style="43"/>
    <col min="7170" max="7170" width="105.6640625" style="43" customWidth="1"/>
    <col min="7171" max="7171" width="18.83203125" style="43" customWidth="1"/>
    <col min="7172" max="7172" width="0.1640625" style="43" customWidth="1"/>
    <col min="7173" max="7425" width="10.1640625" style="43"/>
    <col min="7426" max="7426" width="105.6640625" style="43" customWidth="1"/>
    <col min="7427" max="7427" width="18.83203125" style="43" customWidth="1"/>
    <col min="7428" max="7428" width="0.1640625" style="43" customWidth="1"/>
    <col min="7429" max="7681" width="10.1640625" style="43"/>
    <col min="7682" max="7682" width="105.6640625" style="43" customWidth="1"/>
    <col min="7683" max="7683" width="18.83203125" style="43" customWidth="1"/>
    <col min="7684" max="7684" width="0.1640625" style="43" customWidth="1"/>
    <col min="7685" max="7937" width="10.1640625" style="43"/>
    <col min="7938" max="7938" width="105.6640625" style="43" customWidth="1"/>
    <col min="7939" max="7939" width="18.83203125" style="43" customWidth="1"/>
    <col min="7940" max="7940" width="0.1640625" style="43" customWidth="1"/>
    <col min="7941" max="8193" width="10.1640625" style="43"/>
    <col min="8194" max="8194" width="105.6640625" style="43" customWidth="1"/>
    <col min="8195" max="8195" width="18.83203125" style="43" customWidth="1"/>
    <col min="8196" max="8196" width="0.1640625" style="43" customWidth="1"/>
    <col min="8197" max="8449" width="10.1640625" style="43"/>
    <col min="8450" max="8450" width="105.6640625" style="43" customWidth="1"/>
    <col min="8451" max="8451" width="18.83203125" style="43" customWidth="1"/>
    <col min="8452" max="8452" width="0.1640625" style="43" customWidth="1"/>
    <col min="8453" max="8705" width="10.1640625" style="43"/>
    <col min="8706" max="8706" width="105.6640625" style="43" customWidth="1"/>
    <col min="8707" max="8707" width="18.83203125" style="43" customWidth="1"/>
    <col min="8708" max="8708" width="0.1640625" style="43" customWidth="1"/>
    <col min="8709" max="8961" width="10.1640625" style="43"/>
    <col min="8962" max="8962" width="105.6640625" style="43" customWidth="1"/>
    <col min="8963" max="8963" width="18.83203125" style="43" customWidth="1"/>
    <col min="8964" max="8964" width="0.1640625" style="43" customWidth="1"/>
    <col min="8965" max="9217" width="10.1640625" style="43"/>
    <col min="9218" max="9218" width="105.6640625" style="43" customWidth="1"/>
    <col min="9219" max="9219" width="18.83203125" style="43" customWidth="1"/>
    <col min="9220" max="9220" width="0.1640625" style="43" customWidth="1"/>
    <col min="9221" max="9473" width="10.1640625" style="43"/>
    <col min="9474" max="9474" width="105.6640625" style="43" customWidth="1"/>
    <col min="9475" max="9475" width="18.83203125" style="43" customWidth="1"/>
    <col min="9476" max="9476" width="0.1640625" style="43" customWidth="1"/>
    <col min="9477" max="9729" width="10.1640625" style="43"/>
    <col min="9730" max="9730" width="105.6640625" style="43" customWidth="1"/>
    <col min="9731" max="9731" width="18.83203125" style="43" customWidth="1"/>
    <col min="9732" max="9732" width="0.1640625" style="43" customWidth="1"/>
    <col min="9733" max="9985" width="10.1640625" style="43"/>
    <col min="9986" max="9986" width="105.6640625" style="43" customWidth="1"/>
    <col min="9987" max="9987" width="18.83203125" style="43" customWidth="1"/>
    <col min="9988" max="9988" width="0.1640625" style="43" customWidth="1"/>
    <col min="9989" max="10241" width="10.1640625" style="43"/>
    <col min="10242" max="10242" width="105.6640625" style="43" customWidth="1"/>
    <col min="10243" max="10243" width="18.83203125" style="43" customWidth="1"/>
    <col min="10244" max="10244" width="0.1640625" style="43" customWidth="1"/>
    <col min="10245" max="10497" width="10.1640625" style="43"/>
    <col min="10498" max="10498" width="105.6640625" style="43" customWidth="1"/>
    <col min="10499" max="10499" width="18.83203125" style="43" customWidth="1"/>
    <col min="10500" max="10500" width="0.1640625" style="43" customWidth="1"/>
    <col min="10501" max="10753" width="10.1640625" style="43"/>
    <col min="10754" max="10754" width="105.6640625" style="43" customWidth="1"/>
    <col min="10755" max="10755" width="18.83203125" style="43" customWidth="1"/>
    <col min="10756" max="10756" width="0.1640625" style="43" customWidth="1"/>
    <col min="10757" max="11009" width="10.1640625" style="43"/>
    <col min="11010" max="11010" width="105.6640625" style="43" customWidth="1"/>
    <col min="11011" max="11011" width="18.83203125" style="43" customWidth="1"/>
    <col min="11012" max="11012" width="0.1640625" style="43" customWidth="1"/>
    <col min="11013" max="11265" width="10.1640625" style="43"/>
    <col min="11266" max="11266" width="105.6640625" style="43" customWidth="1"/>
    <col min="11267" max="11267" width="18.83203125" style="43" customWidth="1"/>
    <col min="11268" max="11268" width="0.1640625" style="43" customWidth="1"/>
    <col min="11269" max="11521" width="10.1640625" style="43"/>
    <col min="11522" max="11522" width="105.6640625" style="43" customWidth="1"/>
    <col min="11523" max="11523" width="18.83203125" style="43" customWidth="1"/>
    <col min="11524" max="11524" width="0.1640625" style="43" customWidth="1"/>
    <col min="11525" max="11777" width="10.1640625" style="43"/>
    <col min="11778" max="11778" width="105.6640625" style="43" customWidth="1"/>
    <col min="11779" max="11779" width="18.83203125" style="43" customWidth="1"/>
    <col min="11780" max="11780" width="0.1640625" style="43" customWidth="1"/>
    <col min="11781" max="12033" width="10.1640625" style="43"/>
    <col min="12034" max="12034" width="105.6640625" style="43" customWidth="1"/>
    <col min="12035" max="12035" width="18.83203125" style="43" customWidth="1"/>
    <col min="12036" max="12036" width="0.1640625" style="43" customWidth="1"/>
    <col min="12037" max="12289" width="10.1640625" style="43"/>
    <col min="12290" max="12290" width="105.6640625" style="43" customWidth="1"/>
    <col min="12291" max="12291" width="18.83203125" style="43" customWidth="1"/>
    <col min="12292" max="12292" width="0.1640625" style="43" customWidth="1"/>
    <col min="12293" max="12545" width="10.1640625" style="43"/>
    <col min="12546" max="12546" width="105.6640625" style="43" customWidth="1"/>
    <col min="12547" max="12547" width="18.83203125" style="43" customWidth="1"/>
    <col min="12548" max="12548" width="0.1640625" style="43" customWidth="1"/>
    <col min="12549" max="12801" width="10.1640625" style="43"/>
    <col min="12802" max="12802" width="105.6640625" style="43" customWidth="1"/>
    <col min="12803" max="12803" width="18.83203125" style="43" customWidth="1"/>
    <col min="12804" max="12804" width="0.1640625" style="43" customWidth="1"/>
    <col min="12805" max="13057" width="10.1640625" style="43"/>
    <col min="13058" max="13058" width="105.6640625" style="43" customWidth="1"/>
    <col min="13059" max="13059" width="18.83203125" style="43" customWidth="1"/>
    <col min="13060" max="13060" width="0.1640625" style="43" customWidth="1"/>
    <col min="13061" max="13313" width="10.1640625" style="43"/>
    <col min="13314" max="13314" width="105.6640625" style="43" customWidth="1"/>
    <col min="13315" max="13315" width="18.83203125" style="43" customWidth="1"/>
    <col min="13316" max="13316" width="0.1640625" style="43" customWidth="1"/>
    <col min="13317" max="13569" width="10.1640625" style="43"/>
    <col min="13570" max="13570" width="105.6640625" style="43" customWidth="1"/>
    <col min="13571" max="13571" width="18.83203125" style="43" customWidth="1"/>
    <col min="13572" max="13572" width="0.1640625" style="43" customWidth="1"/>
    <col min="13573" max="13825" width="10.1640625" style="43"/>
    <col min="13826" max="13826" width="105.6640625" style="43" customWidth="1"/>
    <col min="13827" max="13827" width="18.83203125" style="43" customWidth="1"/>
    <col min="13828" max="13828" width="0.1640625" style="43" customWidth="1"/>
    <col min="13829" max="14081" width="10.1640625" style="43"/>
    <col min="14082" max="14082" width="105.6640625" style="43" customWidth="1"/>
    <col min="14083" max="14083" width="18.83203125" style="43" customWidth="1"/>
    <col min="14084" max="14084" width="0.1640625" style="43" customWidth="1"/>
    <col min="14085" max="14337" width="10.1640625" style="43"/>
    <col min="14338" max="14338" width="105.6640625" style="43" customWidth="1"/>
    <col min="14339" max="14339" width="18.83203125" style="43" customWidth="1"/>
    <col min="14340" max="14340" width="0.1640625" style="43" customWidth="1"/>
    <col min="14341" max="14593" width="10.1640625" style="43"/>
    <col min="14594" max="14594" width="105.6640625" style="43" customWidth="1"/>
    <col min="14595" max="14595" width="18.83203125" style="43" customWidth="1"/>
    <col min="14596" max="14596" width="0.1640625" style="43" customWidth="1"/>
    <col min="14597" max="14849" width="10.1640625" style="43"/>
    <col min="14850" max="14850" width="105.6640625" style="43" customWidth="1"/>
    <col min="14851" max="14851" width="18.83203125" style="43" customWidth="1"/>
    <col min="14852" max="14852" width="0.1640625" style="43" customWidth="1"/>
    <col min="14853" max="15105" width="10.1640625" style="43"/>
    <col min="15106" max="15106" width="105.6640625" style="43" customWidth="1"/>
    <col min="15107" max="15107" width="18.83203125" style="43" customWidth="1"/>
    <col min="15108" max="15108" width="0.1640625" style="43" customWidth="1"/>
    <col min="15109" max="15361" width="10.1640625" style="43"/>
    <col min="15362" max="15362" width="105.6640625" style="43" customWidth="1"/>
    <col min="15363" max="15363" width="18.83203125" style="43" customWidth="1"/>
    <col min="15364" max="15364" width="0.1640625" style="43" customWidth="1"/>
    <col min="15365" max="15617" width="10.1640625" style="43"/>
    <col min="15618" max="15618" width="105.6640625" style="43" customWidth="1"/>
    <col min="15619" max="15619" width="18.83203125" style="43" customWidth="1"/>
    <col min="15620" max="15620" width="0.1640625" style="43" customWidth="1"/>
    <col min="15621" max="15873" width="10.1640625" style="43"/>
    <col min="15874" max="15874" width="105.6640625" style="43" customWidth="1"/>
    <col min="15875" max="15875" width="18.83203125" style="43" customWidth="1"/>
    <col min="15876" max="15876" width="0.1640625" style="43" customWidth="1"/>
    <col min="15877" max="16129" width="10.1640625" style="43"/>
    <col min="16130" max="16130" width="105.6640625" style="43" customWidth="1"/>
    <col min="16131" max="16131" width="18.83203125" style="43" customWidth="1"/>
    <col min="16132" max="16132" width="0.1640625" style="43" customWidth="1"/>
    <col min="16133" max="16384" width="10.1640625" style="43"/>
  </cols>
  <sheetData>
    <row r="1" spans="1:3">
      <c r="A1" s="39"/>
      <c r="B1" s="40" t="s">
        <v>1492</v>
      </c>
      <c r="C1" s="41"/>
    </row>
    <row r="2" spans="1:3">
      <c r="A2" s="39"/>
      <c r="B2" s="39"/>
      <c r="C2" s="39"/>
    </row>
    <row r="3" spans="1:3">
      <c r="A3" s="39"/>
      <c r="B3" s="44" t="s">
        <v>1493</v>
      </c>
      <c r="C3" s="39"/>
    </row>
    <row r="4" spans="1:3" ht="19" thickBot="1">
      <c r="A4" s="39"/>
      <c r="B4" s="45" t="s">
        <v>1494</v>
      </c>
      <c r="C4" s="46" t="s">
        <v>1495</v>
      </c>
    </row>
    <row r="5" spans="1:3">
      <c r="A5" s="39"/>
      <c r="B5" s="44" t="s">
        <v>1496</v>
      </c>
      <c r="C5" s="39"/>
    </row>
    <row r="6" spans="1:3">
      <c r="A6" s="39"/>
      <c r="B6" s="44"/>
      <c r="C6" s="39"/>
    </row>
    <row r="7" spans="1:3">
      <c r="A7" s="39"/>
      <c r="B7" s="47" t="s">
        <v>1497</v>
      </c>
      <c r="C7" s="39"/>
    </row>
    <row r="8" spans="1:3" s="42" customFormat="1">
      <c r="A8" s="39"/>
      <c r="B8" s="48" t="s">
        <v>1485</v>
      </c>
      <c r="C8" s="39"/>
    </row>
    <row r="9" spans="1:3" s="42" customFormat="1">
      <c r="A9" s="39"/>
      <c r="B9" s="49" t="s">
        <v>1486</v>
      </c>
      <c r="C9" s="39"/>
    </row>
    <row r="10" spans="1:3" s="42" customFormat="1">
      <c r="A10" s="39"/>
      <c r="B10" s="50" t="s">
        <v>1487</v>
      </c>
      <c r="C10" s="39"/>
    </row>
    <row r="11" spans="1:3">
      <c r="A11" s="39"/>
      <c r="B11" s="49" t="s">
        <v>1488</v>
      </c>
      <c r="C11" s="39"/>
    </row>
    <row r="12" spans="1:3">
      <c r="A12" s="39"/>
      <c r="B12" s="49" t="s">
        <v>1489</v>
      </c>
      <c r="C12" s="39"/>
    </row>
    <row r="13" spans="1:3">
      <c r="A13" s="39"/>
      <c r="B13" s="49" t="s">
        <v>1490</v>
      </c>
      <c r="C13" s="39"/>
    </row>
    <row r="14" spans="1:3">
      <c r="A14" s="39"/>
      <c r="B14" s="49" t="s">
        <v>1491</v>
      </c>
      <c r="C14" s="39"/>
    </row>
    <row r="15" spans="1:3">
      <c r="A15" s="39"/>
      <c r="B15" s="47" t="s">
        <v>1498</v>
      </c>
      <c r="C15" s="39"/>
    </row>
    <row r="16" spans="1:3">
      <c r="A16" s="39"/>
      <c r="B16" s="48" t="s">
        <v>1485</v>
      </c>
      <c r="C16" s="39"/>
    </row>
    <row r="17" spans="1:3">
      <c r="A17" s="39"/>
      <c r="B17" s="49" t="s">
        <v>1486</v>
      </c>
      <c r="C17" s="39"/>
    </row>
    <row r="18" spans="1:3">
      <c r="A18" s="39"/>
      <c r="B18" s="50" t="s">
        <v>1487</v>
      </c>
      <c r="C18" s="39"/>
    </row>
    <row r="19" spans="1:3">
      <c r="A19" s="39"/>
      <c r="B19" s="49" t="s">
        <v>1488</v>
      </c>
      <c r="C19" s="39"/>
    </row>
    <row r="20" spans="1:3">
      <c r="A20" s="39"/>
      <c r="B20" s="49" t="s">
        <v>1489</v>
      </c>
      <c r="C20" s="39"/>
    </row>
    <row r="21" spans="1:3">
      <c r="A21" s="39"/>
      <c r="B21" s="49" t="s">
        <v>1490</v>
      </c>
      <c r="C21" s="39"/>
    </row>
    <row r="22" spans="1:3">
      <c r="A22" s="39"/>
      <c r="B22" s="49" t="s">
        <v>1491</v>
      </c>
      <c r="C22" s="39"/>
    </row>
    <row r="23" spans="1:3">
      <c r="A23" s="39"/>
      <c r="B23" s="47" t="s">
        <v>1499</v>
      </c>
      <c r="C23" s="39"/>
    </row>
    <row r="24" spans="1:3">
      <c r="A24" s="39"/>
      <c r="B24" s="48" t="s">
        <v>1485</v>
      </c>
      <c r="C24" s="39"/>
    </row>
    <row r="25" spans="1:3">
      <c r="A25" s="39"/>
      <c r="B25" s="49" t="s">
        <v>1486</v>
      </c>
      <c r="C25" s="39"/>
    </row>
    <row r="26" spans="1:3">
      <c r="A26" s="39"/>
      <c r="B26" s="50" t="s">
        <v>1487</v>
      </c>
      <c r="C26" s="39"/>
    </row>
    <row r="27" spans="1:3">
      <c r="A27" s="39"/>
      <c r="B27" s="49" t="s">
        <v>1488</v>
      </c>
      <c r="C27" s="39"/>
    </row>
    <row r="28" spans="1:3">
      <c r="A28" s="39"/>
      <c r="B28" s="49" t="s">
        <v>1489</v>
      </c>
      <c r="C28" s="39"/>
    </row>
    <row r="29" spans="1:3">
      <c r="A29" s="39"/>
      <c r="B29" s="49" t="s">
        <v>1490</v>
      </c>
      <c r="C29" s="39"/>
    </row>
    <row r="30" spans="1:3">
      <c r="A30" s="39"/>
      <c r="B30" s="49" t="s">
        <v>1491</v>
      </c>
      <c r="C30" s="39"/>
    </row>
    <row r="31" spans="1:3">
      <c r="A31" s="39"/>
      <c r="B31" s="47" t="s">
        <v>1500</v>
      </c>
      <c r="C31" s="39"/>
    </row>
    <row r="32" spans="1:3">
      <c r="A32" s="39"/>
      <c r="B32" s="48" t="s">
        <v>1485</v>
      </c>
      <c r="C32" s="39"/>
    </row>
    <row r="33" spans="1:3">
      <c r="A33" s="39"/>
      <c r="B33" s="49" t="s">
        <v>1486</v>
      </c>
      <c r="C33" s="39"/>
    </row>
    <row r="34" spans="1:3">
      <c r="A34" s="39"/>
      <c r="B34" s="50" t="s">
        <v>1487</v>
      </c>
      <c r="C34" s="39"/>
    </row>
    <row r="35" spans="1:3">
      <c r="A35" s="39"/>
      <c r="B35" s="49" t="s">
        <v>1488</v>
      </c>
      <c r="C35" s="39"/>
    </row>
    <row r="36" spans="1:3">
      <c r="A36" s="39"/>
      <c r="B36" s="49" t="s">
        <v>1489</v>
      </c>
      <c r="C36" s="39"/>
    </row>
    <row r="37" spans="1:3">
      <c r="A37" s="39"/>
      <c r="B37" s="49" t="s">
        <v>1490</v>
      </c>
      <c r="C37" s="39"/>
    </row>
    <row r="38" spans="1:3">
      <c r="A38" s="39"/>
      <c r="B38" s="49" t="s">
        <v>1491</v>
      </c>
      <c r="C38" s="39"/>
    </row>
    <row r="39" spans="1:3">
      <c r="A39" s="39"/>
      <c r="B39" s="47" t="s">
        <v>1501</v>
      </c>
      <c r="C39" s="39"/>
    </row>
    <row r="40" spans="1:3">
      <c r="A40" s="39"/>
      <c r="B40" s="48" t="s">
        <v>1485</v>
      </c>
      <c r="C40" s="39"/>
    </row>
    <row r="41" spans="1:3">
      <c r="A41" s="39"/>
      <c r="B41" s="49" t="s">
        <v>1486</v>
      </c>
      <c r="C41" s="39"/>
    </row>
    <row r="42" spans="1:3">
      <c r="A42" s="39"/>
      <c r="B42" s="50" t="s">
        <v>1487</v>
      </c>
      <c r="C42" s="39"/>
    </row>
    <row r="43" spans="1:3">
      <c r="A43" s="39"/>
      <c r="B43" s="49" t="s">
        <v>1488</v>
      </c>
      <c r="C43" s="39"/>
    </row>
    <row r="44" spans="1:3">
      <c r="A44" s="39"/>
      <c r="B44" s="49" t="s">
        <v>1489</v>
      </c>
      <c r="C44" s="39"/>
    </row>
    <row r="45" spans="1:3">
      <c r="A45" s="39"/>
      <c r="B45" s="49" t="s">
        <v>1490</v>
      </c>
      <c r="C45" s="39"/>
    </row>
    <row r="46" spans="1:3">
      <c r="A46" s="39"/>
      <c r="B46" s="49" t="s">
        <v>1491</v>
      </c>
      <c r="C46" s="39"/>
    </row>
    <row r="47" spans="1:3">
      <c r="A47" s="39"/>
      <c r="B47" s="47" t="s">
        <v>1502</v>
      </c>
      <c r="C47" s="39"/>
    </row>
    <row r="48" spans="1:3">
      <c r="A48" s="39"/>
      <c r="B48" s="48" t="s">
        <v>1485</v>
      </c>
      <c r="C48" s="39"/>
    </row>
    <row r="49" spans="1:3">
      <c r="A49" s="39"/>
      <c r="B49" s="49" t="s">
        <v>1486</v>
      </c>
      <c r="C49" s="39"/>
    </row>
    <row r="50" spans="1:3">
      <c r="A50" s="39"/>
      <c r="B50" s="50" t="s">
        <v>1487</v>
      </c>
      <c r="C50" s="39"/>
    </row>
    <row r="51" spans="1:3">
      <c r="A51" s="39"/>
      <c r="B51" s="49" t="s">
        <v>1488</v>
      </c>
      <c r="C51" s="39"/>
    </row>
    <row r="52" spans="1:3">
      <c r="A52" s="39"/>
      <c r="B52" s="49" t="s">
        <v>1489</v>
      </c>
      <c r="C52" s="39"/>
    </row>
    <row r="53" spans="1:3">
      <c r="A53" s="39"/>
      <c r="B53" s="49" t="s">
        <v>1490</v>
      </c>
      <c r="C53" s="39"/>
    </row>
    <row r="54" spans="1:3">
      <c r="A54" s="39"/>
      <c r="B54" s="49" t="s">
        <v>1491</v>
      </c>
      <c r="C54" s="39"/>
    </row>
    <row r="55" spans="1:3">
      <c r="A55" s="39"/>
      <c r="B55" s="47" t="s">
        <v>1503</v>
      </c>
      <c r="C55" s="39"/>
    </row>
    <row r="56" spans="1:3">
      <c r="A56" s="39"/>
      <c r="B56" s="48" t="s">
        <v>1485</v>
      </c>
      <c r="C56" s="39"/>
    </row>
    <row r="57" spans="1:3">
      <c r="A57" s="39"/>
      <c r="B57" s="49" t="s">
        <v>1486</v>
      </c>
      <c r="C57" s="39"/>
    </row>
    <row r="58" spans="1:3">
      <c r="A58" s="39"/>
      <c r="B58" s="50" t="s">
        <v>1487</v>
      </c>
      <c r="C58" s="39"/>
    </row>
    <row r="59" spans="1:3">
      <c r="A59" s="39"/>
      <c r="B59" s="49" t="s">
        <v>1488</v>
      </c>
      <c r="C59" s="39"/>
    </row>
    <row r="60" spans="1:3">
      <c r="A60" s="39"/>
      <c r="B60" s="49" t="s">
        <v>1489</v>
      </c>
      <c r="C60" s="39"/>
    </row>
    <row r="61" spans="1:3">
      <c r="A61" s="39"/>
      <c r="B61" s="49" t="s">
        <v>1490</v>
      </c>
      <c r="C61" s="39"/>
    </row>
    <row r="62" spans="1:3">
      <c r="A62" s="39"/>
      <c r="B62" s="49" t="s">
        <v>1491</v>
      </c>
      <c r="C62" s="39"/>
    </row>
    <row r="63" spans="1:3">
      <c r="A63" s="39"/>
      <c r="B63" s="47" t="s">
        <v>1504</v>
      </c>
      <c r="C63" s="39"/>
    </row>
    <row r="64" spans="1:3">
      <c r="A64" s="39"/>
      <c r="B64" s="48" t="s">
        <v>1485</v>
      </c>
      <c r="C64" s="39"/>
    </row>
    <row r="65" spans="1:3">
      <c r="A65" s="39"/>
      <c r="B65" s="49" t="s">
        <v>1486</v>
      </c>
      <c r="C65" s="39"/>
    </row>
    <row r="66" spans="1:3">
      <c r="A66" s="39"/>
      <c r="B66" s="50" t="s">
        <v>1487</v>
      </c>
      <c r="C66" s="39"/>
    </row>
    <row r="67" spans="1:3">
      <c r="A67" s="39"/>
      <c r="B67" s="49" t="s">
        <v>1488</v>
      </c>
      <c r="C67" s="39"/>
    </row>
    <row r="68" spans="1:3">
      <c r="A68" s="39"/>
      <c r="B68" s="49" t="s">
        <v>1489</v>
      </c>
      <c r="C68" s="39"/>
    </row>
    <row r="69" spans="1:3">
      <c r="A69" s="39"/>
      <c r="B69" s="49" t="s">
        <v>1490</v>
      </c>
      <c r="C69" s="39"/>
    </row>
    <row r="70" spans="1:3">
      <c r="A70" s="39"/>
      <c r="B70" s="49" t="s">
        <v>1491</v>
      </c>
      <c r="C70" s="39"/>
    </row>
    <row r="71" spans="1:3">
      <c r="A71" s="39"/>
      <c r="B71" s="47" t="s">
        <v>1505</v>
      </c>
      <c r="C71" s="39"/>
    </row>
    <row r="72" spans="1:3">
      <c r="A72" s="39"/>
      <c r="B72" s="48" t="s">
        <v>1485</v>
      </c>
      <c r="C72" s="39"/>
    </row>
    <row r="73" spans="1:3">
      <c r="A73" s="39"/>
      <c r="B73" s="49" t="s">
        <v>1486</v>
      </c>
      <c r="C73" s="39"/>
    </row>
    <row r="74" spans="1:3">
      <c r="A74" s="39"/>
      <c r="B74" s="50" t="s">
        <v>1487</v>
      </c>
      <c r="C74" s="39"/>
    </row>
    <row r="75" spans="1:3">
      <c r="A75" s="39"/>
      <c r="B75" s="49" t="s">
        <v>1488</v>
      </c>
      <c r="C75" s="39"/>
    </row>
    <row r="76" spans="1:3">
      <c r="A76" s="39"/>
      <c r="B76" s="49" t="s">
        <v>1489</v>
      </c>
      <c r="C76" s="39"/>
    </row>
    <row r="77" spans="1:3">
      <c r="A77" s="39"/>
      <c r="B77" s="49" t="s">
        <v>1490</v>
      </c>
      <c r="C77" s="39"/>
    </row>
    <row r="78" spans="1:3">
      <c r="A78" s="39"/>
      <c r="B78" s="49" t="s">
        <v>1491</v>
      </c>
      <c r="C78" s="39"/>
    </row>
    <row r="79" spans="1:3">
      <c r="A79" s="39"/>
      <c r="B79" s="47" t="s">
        <v>1506</v>
      </c>
      <c r="C79" s="39"/>
    </row>
    <row r="80" spans="1:3">
      <c r="A80" s="39"/>
      <c r="B80" s="48" t="s">
        <v>1485</v>
      </c>
      <c r="C80" s="39"/>
    </row>
    <row r="81" spans="1:3">
      <c r="A81" s="39"/>
      <c r="B81" s="49" t="s">
        <v>1486</v>
      </c>
      <c r="C81" s="39"/>
    </row>
    <row r="82" spans="1:3">
      <c r="A82" s="39"/>
      <c r="B82" s="50" t="s">
        <v>1487</v>
      </c>
      <c r="C82" s="39"/>
    </row>
    <row r="83" spans="1:3">
      <c r="A83" s="39"/>
      <c r="B83" s="49" t="s">
        <v>1488</v>
      </c>
      <c r="C83" s="39"/>
    </row>
    <row r="84" spans="1:3">
      <c r="A84" s="39"/>
      <c r="B84" s="49" t="s">
        <v>1489</v>
      </c>
      <c r="C84" s="39"/>
    </row>
    <row r="85" spans="1:3">
      <c r="A85" s="39"/>
      <c r="B85" s="49" t="s">
        <v>1490</v>
      </c>
      <c r="C85" s="39"/>
    </row>
    <row r="86" spans="1:3">
      <c r="A86" s="39"/>
      <c r="B86" s="49" t="s">
        <v>1491</v>
      </c>
      <c r="C86" s="39"/>
    </row>
    <row r="87" spans="1:3">
      <c r="A87" s="39"/>
      <c r="B87" s="47" t="s">
        <v>1507</v>
      </c>
      <c r="C87" s="39"/>
    </row>
    <row r="88" spans="1:3">
      <c r="A88" s="39"/>
      <c r="B88" s="48" t="s">
        <v>1485</v>
      </c>
      <c r="C88" s="39"/>
    </row>
    <row r="89" spans="1:3">
      <c r="A89" s="39"/>
      <c r="B89" s="49" t="s">
        <v>1486</v>
      </c>
      <c r="C89" s="39"/>
    </row>
    <row r="90" spans="1:3">
      <c r="A90" s="39"/>
      <c r="B90" s="50" t="s">
        <v>1487</v>
      </c>
      <c r="C90" s="39"/>
    </row>
    <row r="91" spans="1:3">
      <c r="A91" s="39"/>
      <c r="B91" s="49" t="s">
        <v>1488</v>
      </c>
      <c r="C91" s="39"/>
    </row>
    <row r="92" spans="1:3">
      <c r="A92" s="39"/>
      <c r="B92" s="49" t="s">
        <v>1489</v>
      </c>
      <c r="C92" s="39"/>
    </row>
    <row r="93" spans="1:3">
      <c r="A93" s="39"/>
      <c r="B93" s="49" t="s">
        <v>1490</v>
      </c>
      <c r="C93" s="39"/>
    </row>
    <row r="94" spans="1:3">
      <c r="A94" s="39"/>
      <c r="B94" s="49" t="s">
        <v>1491</v>
      </c>
      <c r="C94" s="39"/>
    </row>
    <row r="95" spans="1:3">
      <c r="A95" s="39"/>
      <c r="B95" s="47" t="s">
        <v>1508</v>
      </c>
      <c r="C95" s="39"/>
    </row>
    <row r="96" spans="1:3">
      <c r="A96" s="39"/>
      <c r="B96" s="48" t="s">
        <v>1485</v>
      </c>
      <c r="C96" s="39"/>
    </row>
    <row r="97" spans="1:3">
      <c r="A97" s="39"/>
      <c r="B97" s="49" t="s">
        <v>1486</v>
      </c>
      <c r="C97" s="39"/>
    </row>
    <row r="98" spans="1:3">
      <c r="A98" s="39"/>
      <c r="B98" s="50" t="s">
        <v>1487</v>
      </c>
      <c r="C98" s="39"/>
    </row>
    <row r="99" spans="1:3">
      <c r="A99" s="39"/>
      <c r="B99" s="49" t="s">
        <v>1488</v>
      </c>
      <c r="C99" s="39"/>
    </row>
    <row r="100" spans="1:3">
      <c r="A100" s="39"/>
      <c r="B100" s="49" t="s">
        <v>1489</v>
      </c>
      <c r="C100" s="39"/>
    </row>
    <row r="101" spans="1:3">
      <c r="A101" s="39"/>
      <c r="B101" s="49" t="s">
        <v>1490</v>
      </c>
      <c r="C101" s="39"/>
    </row>
    <row r="102" spans="1:3">
      <c r="A102" s="39"/>
      <c r="B102" s="49" t="s">
        <v>1491</v>
      </c>
      <c r="C102" s="39"/>
    </row>
    <row r="103" spans="1:3">
      <c r="A103" s="39"/>
      <c r="B103" s="47" t="s">
        <v>1509</v>
      </c>
      <c r="C103" s="39"/>
    </row>
    <row r="104" spans="1:3">
      <c r="A104" s="39"/>
      <c r="B104" s="48" t="s">
        <v>1485</v>
      </c>
      <c r="C104" s="39"/>
    </row>
    <row r="105" spans="1:3">
      <c r="A105" s="39"/>
      <c r="B105" s="49" t="s">
        <v>1486</v>
      </c>
      <c r="C105" s="39"/>
    </row>
    <row r="106" spans="1:3">
      <c r="A106" s="39"/>
      <c r="B106" s="50" t="s">
        <v>1487</v>
      </c>
      <c r="C106" s="39"/>
    </row>
    <row r="107" spans="1:3">
      <c r="A107" s="39"/>
      <c r="B107" s="49" t="s">
        <v>1488</v>
      </c>
      <c r="C107" s="39"/>
    </row>
    <row r="108" spans="1:3">
      <c r="A108" s="39"/>
      <c r="B108" s="49" t="s">
        <v>1489</v>
      </c>
      <c r="C108" s="39"/>
    </row>
    <row r="109" spans="1:3">
      <c r="A109" s="39"/>
      <c r="B109" s="49" t="s">
        <v>1490</v>
      </c>
      <c r="C109" s="39"/>
    </row>
    <row r="110" spans="1:3">
      <c r="A110" s="39"/>
      <c r="B110" s="49" t="s">
        <v>1491</v>
      </c>
      <c r="C110" s="39"/>
    </row>
    <row r="111" spans="1:3">
      <c r="A111" s="39"/>
      <c r="B111" s="47" t="s">
        <v>1510</v>
      </c>
      <c r="C111" s="39"/>
    </row>
    <row r="112" spans="1:3">
      <c r="A112" s="39"/>
      <c r="B112" s="48" t="s">
        <v>1485</v>
      </c>
      <c r="C112" s="39"/>
    </row>
    <row r="113" spans="1:3">
      <c r="A113" s="39"/>
      <c r="B113" s="49" t="s">
        <v>1486</v>
      </c>
      <c r="C113" s="39"/>
    </row>
    <row r="114" spans="1:3">
      <c r="A114" s="39"/>
      <c r="B114" s="50" t="s">
        <v>1487</v>
      </c>
      <c r="C114" s="39"/>
    </row>
    <row r="115" spans="1:3">
      <c r="A115" s="39"/>
      <c r="B115" s="49" t="s">
        <v>1488</v>
      </c>
      <c r="C115" s="39"/>
    </row>
    <row r="116" spans="1:3">
      <c r="A116" s="39"/>
      <c r="B116" s="49" t="s">
        <v>1489</v>
      </c>
      <c r="C116" s="39"/>
    </row>
    <row r="117" spans="1:3">
      <c r="A117" s="39"/>
      <c r="B117" s="49" t="s">
        <v>1490</v>
      </c>
      <c r="C117" s="39"/>
    </row>
    <row r="118" spans="1:3">
      <c r="A118" s="39"/>
      <c r="B118" s="49" t="s">
        <v>1491</v>
      </c>
      <c r="C118" s="39"/>
    </row>
    <row r="119" spans="1:3">
      <c r="A119" s="39"/>
      <c r="B119" s="47" t="s">
        <v>1511</v>
      </c>
      <c r="C119" s="39"/>
    </row>
    <row r="120" spans="1:3">
      <c r="A120" s="39"/>
      <c r="B120" s="48" t="s">
        <v>1485</v>
      </c>
      <c r="C120" s="39"/>
    </row>
    <row r="121" spans="1:3">
      <c r="A121" s="39"/>
      <c r="B121" s="49" t="s">
        <v>1486</v>
      </c>
      <c r="C121" s="39"/>
    </row>
    <row r="122" spans="1:3">
      <c r="A122" s="39"/>
      <c r="B122" s="50" t="s">
        <v>1487</v>
      </c>
      <c r="C122" s="39"/>
    </row>
    <row r="123" spans="1:3">
      <c r="A123" s="39"/>
      <c r="B123" s="49" t="s">
        <v>1488</v>
      </c>
      <c r="C123" s="39"/>
    </row>
    <row r="124" spans="1:3">
      <c r="A124" s="39"/>
      <c r="B124" s="49" t="s">
        <v>1489</v>
      </c>
      <c r="C124" s="39"/>
    </row>
    <row r="125" spans="1:3">
      <c r="A125" s="39"/>
      <c r="B125" s="49" t="s">
        <v>1490</v>
      </c>
      <c r="C125" s="39"/>
    </row>
    <row r="126" spans="1:3">
      <c r="A126" s="39"/>
      <c r="B126" s="49" t="s">
        <v>1491</v>
      </c>
      <c r="C126" s="39"/>
    </row>
    <row r="127" spans="1:3">
      <c r="A127" s="39"/>
      <c r="B127" s="47" t="s">
        <v>1512</v>
      </c>
      <c r="C127" s="39"/>
    </row>
    <row r="128" spans="1:3">
      <c r="A128" s="39"/>
      <c r="B128" s="48" t="s">
        <v>1485</v>
      </c>
      <c r="C128" s="39"/>
    </row>
    <row r="129" spans="1:3">
      <c r="A129" s="39"/>
      <c r="B129" s="49" t="s">
        <v>1486</v>
      </c>
      <c r="C129" s="39"/>
    </row>
    <row r="130" spans="1:3">
      <c r="A130" s="39"/>
      <c r="B130" s="50" t="s">
        <v>1487</v>
      </c>
      <c r="C130" s="39"/>
    </row>
    <row r="131" spans="1:3">
      <c r="A131" s="39"/>
      <c r="B131" s="49" t="s">
        <v>1488</v>
      </c>
      <c r="C131" s="39"/>
    </row>
    <row r="132" spans="1:3">
      <c r="A132" s="39"/>
      <c r="B132" s="49" t="s">
        <v>1489</v>
      </c>
      <c r="C132" s="39"/>
    </row>
    <row r="133" spans="1:3">
      <c r="A133" s="39"/>
      <c r="B133" s="49" t="s">
        <v>1490</v>
      </c>
      <c r="C133" s="39"/>
    </row>
    <row r="134" spans="1:3">
      <c r="A134" s="39"/>
      <c r="B134" s="49" t="s">
        <v>1491</v>
      </c>
      <c r="C134" s="39"/>
    </row>
    <row r="135" spans="1:3">
      <c r="A135" s="39"/>
      <c r="B135" s="47" t="s">
        <v>1513</v>
      </c>
      <c r="C135" s="39"/>
    </row>
    <row r="136" spans="1:3">
      <c r="A136" s="39"/>
      <c r="B136" s="48" t="s">
        <v>1485</v>
      </c>
      <c r="C136" s="39"/>
    </row>
    <row r="137" spans="1:3">
      <c r="A137" s="39"/>
      <c r="B137" s="49" t="s">
        <v>1486</v>
      </c>
      <c r="C137" s="39"/>
    </row>
    <row r="138" spans="1:3">
      <c r="A138" s="39"/>
      <c r="B138" s="50" t="s">
        <v>1487</v>
      </c>
      <c r="C138" s="39"/>
    </row>
    <row r="139" spans="1:3">
      <c r="A139" s="39"/>
      <c r="B139" s="49" t="s">
        <v>1488</v>
      </c>
      <c r="C139" s="39"/>
    </row>
    <row r="140" spans="1:3">
      <c r="A140" s="39"/>
      <c r="B140" s="49" t="s">
        <v>1489</v>
      </c>
      <c r="C140" s="39"/>
    </row>
    <row r="141" spans="1:3">
      <c r="A141" s="39"/>
      <c r="B141" s="49" t="s">
        <v>1490</v>
      </c>
      <c r="C141" s="39"/>
    </row>
    <row r="142" spans="1:3">
      <c r="A142" s="39"/>
      <c r="B142" s="49" t="s">
        <v>1491</v>
      </c>
      <c r="C142" s="39"/>
    </row>
    <row r="143" spans="1:3">
      <c r="A143" s="39"/>
      <c r="B143" s="47" t="s">
        <v>1514</v>
      </c>
      <c r="C143" s="39"/>
    </row>
    <row r="144" spans="1:3">
      <c r="A144" s="39"/>
      <c r="B144" s="48" t="s">
        <v>1485</v>
      </c>
      <c r="C144" s="39"/>
    </row>
    <row r="145" spans="1:3">
      <c r="A145" s="39"/>
      <c r="B145" s="49" t="s">
        <v>1486</v>
      </c>
      <c r="C145" s="39"/>
    </row>
    <row r="146" spans="1:3">
      <c r="A146" s="39"/>
      <c r="B146" s="50" t="s">
        <v>1487</v>
      </c>
      <c r="C146" s="39"/>
    </row>
    <row r="147" spans="1:3">
      <c r="A147" s="39"/>
      <c r="B147" s="49" t="s">
        <v>1488</v>
      </c>
      <c r="C147" s="39"/>
    </row>
    <row r="148" spans="1:3">
      <c r="A148" s="39"/>
      <c r="B148" s="49" t="s">
        <v>1489</v>
      </c>
      <c r="C148" s="39"/>
    </row>
    <row r="149" spans="1:3">
      <c r="A149" s="39"/>
      <c r="B149" s="49" t="s">
        <v>1490</v>
      </c>
      <c r="C149" s="39"/>
    </row>
    <row r="150" spans="1:3">
      <c r="A150" s="39"/>
      <c r="B150" s="49" t="s">
        <v>1491</v>
      </c>
      <c r="C150" s="39"/>
    </row>
    <row r="151" spans="1:3">
      <c r="A151" s="39"/>
      <c r="B151" s="47" t="s">
        <v>1515</v>
      </c>
      <c r="C151" s="39"/>
    </row>
    <row r="152" spans="1:3">
      <c r="A152" s="39"/>
      <c r="B152" s="48" t="s">
        <v>1485</v>
      </c>
      <c r="C152" s="39"/>
    </row>
    <row r="153" spans="1:3">
      <c r="A153" s="39"/>
      <c r="B153" s="49" t="s">
        <v>1486</v>
      </c>
      <c r="C153" s="39"/>
    </row>
    <row r="154" spans="1:3">
      <c r="A154" s="39"/>
      <c r="B154" s="50" t="s">
        <v>1487</v>
      </c>
      <c r="C154" s="39"/>
    </row>
    <row r="155" spans="1:3">
      <c r="A155" s="39"/>
      <c r="B155" s="49" t="s">
        <v>1488</v>
      </c>
      <c r="C155" s="39"/>
    </row>
    <row r="156" spans="1:3">
      <c r="A156" s="39"/>
      <c r="B156" s="49" t="s">
        <v>1489</v>
      </c>
      <c r="C156" s="39"/>
    </row>
    <row r="157" spans="1:3">
      <c r="A157" s="39"/>
      <c r="B157" s="49" t="s">
        <v>1490</v>
      </c>
      <c r="C157" s="39"/>
    </row>
    <row r="158" spans="1:3">
      <c r="A158" s="39"/>
      <c r="B158" s="49" t="s">
        <v>1491</v>
      </c>
      <c r="C158" s="39"/>
    </row>
    <row r="159" spans="1:3">
      <c r="A159" s="39"/>
      <c r="B159" s="47" t="s">
        <v>1516</v>
      </c>
      <c r="C159" s="39"/>
    </row>
    <row r="160" spans="1:3">
      <c r="A160" s="39"/>
      <c r="B160" s="48" t="s">
        <v>1485</v>
      </c>
      <c r="C160" s="39"/>
    </row>
    <row r="161" spans="1:3">
      <c r="A161" s="39"/>
      <c r="B161" s="49" t="s">
        <v>1486</v>
      </c>
      <c r="C161" s="39"/>
    </row>
    <row r="162" spans="1:3">
      <c r="A162" s="39"/>
      <c r="B162" s="50" t="s">
        <v>1487</v>
      </c>
      <c r="C162" s="39"/>
    </row>
    <row r="163" spans="1:3">
      <c r="A163" s="39"/>
      <c r="B163" s="49" t="s">
        <v>1488</v>
      </c>
      <c r="C163" s="39"/>
    </row>
    <row r="164" spans="1:3">
      <c r="A164" s="39"/>
      <c r="B164" s="49" t="s">
        <v>1489</v>
      </c>
      <c r="C164" s="39"/>
    </row>
    <row r="165" spans="1:3">
      <c r="A165" s="39"/>
      <c r="B165" s="49" t="s">
        <v>1490</v>
      </c>
      <c r="C165" s="39"/>
    </row>
    <row r="166" spans="1:3">
      <c r="A166" s="39"/>
      <c r="B166" s="49" t="s">
        <v>1491</v>
      </c>
      <c r="C166" s="39"/>
    </row>
    <row r="167" spans="1:3">
      <c r="A167" s="39"/>
      <c r="B167" s="47" t="s">
        <v>1517</v>
      </c>
      <c r="C167" s="39"/>
    </row>
    <row r="168" spans="1:3">
      <c r="A168" s="39"/>
      <c r="B168" s="48" t="s">
        <v>1485</v>
      </c>
      <c r="C168" s="39"/>
    </row>
    <row r="169" spans="1:3">
      <c r="A169" s="39"/>
      <c r="B169" s="49" t="s">
        <v>1486</v>
      </c>
      <c r="C169" s="39"/>
    </row>
    <row r="170" spans="1:3">
      <c r="A170" s="39"/>
      <c r="B170" s="50" t="s">
        <v>1487</v>
      </c>
      <c r="C170" s="39"/>
    </row>
    <row r="171" spans="1:3">
      <c r="A171" s="39"/>
      <c r="B171" s="49" t="s">
        <v>1488</v>
      </c>
      <c r="C171" s="39"/>
    </row>
    <row r="172" spans="1:3">
      <c r="A172" s="39"/>
      <c r="B172" s="49" t="s">
        <v>1489</v>
      </c>
      <c r="C172" s="39"/>
    </row>
    <row r="173" spans="1:3">
      <c r="A173" s="39"/>
      <c r="B173" s="49" t="s">
        <v>1490</v>
      </c>
      <c r="C173" s="39"/>
    </row>
    <row r="174" spans="1:3">
      <c r="A174" s="39"/>
      <c r="B174" s="49" t="s">
        <v>1491</v>
      </c>
      <c r="C174" s="39"/>
    </row>
    <row r="175" spans="1:3">
      <c r="A175" s="39"/>
      <c r="B175" s="47" t="s">
        <v>1518</v>
      </c>
      <c r="C175" s="39"/>
    </row>
    <row r="176" spans="1:3">
      <c r="A176" s="39"/>
      <c r="B176" s="48" t="s">
        <v>1485</v>
      </c>
      <c r="C176" s="39"/>
    </row>
    <row r="177" spans="1:3">
      <c r="A177" s="39"/>
      <c r="B177" s="49" t="s">
        <v>1486</v>
      </c>
      <c r="C177" s="39"/>
    </row>
    <row r="178" spans="1:3">
      <c r="A178" s="39"/>
      <c r="B178" s="50" t="s">
        <v>1487</v>
      </c>
      <c r="C178" s="39"/>
    </row>
    <row r="179" spans="1:3">
      <c r="A179" s="39"/>
      <c r="B179" s="49" t="s">
        <v>1488</v>
      </c>
      <c r="C179" s="39"/>
    </row>
    <row r="180" spans="1:3">
      <c r="A180" s="39"/>
      <c r="B180" s="49" t="s">
        <v>1489</v>
      </c>
      <c r="C180" s="39"/>
    </row>
    <row r="181" spans="1:3">
      <c r="A181" s="39"/>
      <c r="B181" s="49" t="s">
        <v>1490</v>
      </c>
      <c r="C181" s="39"/>
    </row>
    <row r="182" spans="1:3">
      <c r="A182" s="39"/>
      <c r="B182" s="49" t="s">
        <v>1491</v>
      </c>
      <c r="C182" s="39"/>
    </row>
    <row r="183" spans="1:3">
      <c r="A183" s="39"/>
      <c r="B183" s="47" t="s">
        <v>1519</v>
      </c>
      <c r="C183" s="39"/>
    </row>
    <row r="184" spans="1:3">
      <c r="A184" s="39"/>
      <c r="B184" s="48" t="s">
        <v>1485</v>
      </c>
      <c r="C184" s="39"/>
    </row>
    <row r="185" spans="1:3">
      <c r="A185" s="39"/>
      <c r="B185" s="49" t="s">
        <v>1486</v>
      </c>
      <c r="C185" s="39"/>
    </row>
    <row r="186" spans="1:3">
      <c r="A186" s="39"/>
      <c r="B186" s="50" t="s">
        <v>1487</v>
      </c>
      <c r="C186" s="39"/>
    </row>
    <row r="187" spans="1:3">
      <c r="A187" s="39"/>
      <c r="B187" s="49" t="s">
        <v>1488</v>
      </c>
      <c r="C187" s="39"/>
    </row>
    <row r="188" spans="1:3">
      <c r="A188" s="39"/>
      <c r="B188" s="49" t="s">
        <v>1489</v>
      </c>
      <c r="C188" s="39"/>
    </row>
    <row r="189" spans="1:3">
      <c r="A189" s="39"/>
      <c r="B189" s="49" t="s">
        <v>1490</v>
      </c>
      <c r="C189" s="39"/>
    </row>
    <row r="190" spans="1:3">
      <c r="A190" s="39"/>
      <c r="B190" s="49" t="s">
        <v>1491</v>
      </c>
      <c r="C190" s="39"/>
    </row>
    <row r="191" spans="1:3">
      <c r="A191" s="39"/>
      <c r="B191" s="47" t="s">
        <v>1520</v>
      </c>
      <c r="C191" s="39"/>
    </row>
    <row r="192" spans="1:3">
      <c r="A192" s="39"/>
      <c r="B192" s="48" t="s">
        <v>1485</v>
      </c>
      <c r="C192" s="39"/>
    </row>
    <row r="193" spans="1:3">
      <c r="A193" s="39"/>
      <c r="B193" s="49" t="s">
        <v>1486</v>
      </c>
      <c r="C193" s="39"/>
    </row>
    <row r="194" spans="1:3">
      <c r="A194" s="39"/>
      <c r="B194" s="50" t="s">
        <v>1487</v>
      </c>
      <c r="C194" s="39"/>
    </row>
    <row r="195" spans="1:3">
      <c r="A195" s="39"/>
      <c r="B195" s="49" t="s">
        <v>1488</v>
      </c>
      <c r="C195" s="39"/>
    </row>
    <row r="196" spans="1:3">
      <c r="A196" s="39"/>
      <c r="B196" s="49" t="s">
        <v>1489</v>
      </c>
      <c r="C196" s="39"/>
    </row>
    <row r="197" spans="1:3">
      <c r="A197" s="39"/>
      <c r="B197" s="49" t="s">
        <v>1490</v>
      </c>
      <c r="C197" s="39"/>
    </row>
    <row r="198" spans="1:3">
      <c r="A198" s="39"/>
      <c r="B198" s="49" t="s">
        <v>1491</v>
      </c>
      <c r="C198" s="39"/>
    </row>
    <row r="199" spans="1:3">
      <c r="A199" s="39"/>
      <c r="B199" s="47" t="s">
        <v>1521</v>
      </c>
      <c r="C199" s="39"/>
    </row>
    <row r="200" spans="1:3">
      <c r="A200" s="39"/>
      <c r="B200" s="48" t="s">
        <v>1485</v>
      </c>
      <c r="C200" s="39"/>
    </row>
    <row r="201" spans="1:3">
      <c r="A201" s="39"/>
      <c r="B201" s="49" t="s">
        <v>1486</v>
      </c>
      <c r="C201" s="39"/>
    </row>
    <row r="202" spans="1:3">
      <c r="A202" s="39"/>
      <c r="B202" s="50" t="s">
        <v>1487</v>
      </c>
      <c r="C202" s="39"/>
    </row>
    <row r="203" spans="1:3">
      <c r="A203" s="39"/>
      <c r="B203" s="49" t="s">
        <v>1488</v>
      </c>
      <c r="C203" s="39"/>
    </row>
    <row r="204" spans="1:3">
      <c r="A204" s="39"/>
      <c r="B204" s="49" t="s">
        <v>1489</v>
      </c>
      <c r="C204" s="39"/>
    </row>
    <row r="205" spans="1:3">
      <c r="A205" s="39"/>
      <c r="B205" s="49" t="s">
        <v>1490</v>
      </c>
      <c r="C205" s="39"/>
    </row>
    <row r="206" spans="1:3">
      <c r="A206" s="39"/>
      <c r="B206" s="49" t="s">
        <v>1491</v>
      </c>
      <c r="C206" s="39"/>
    </row>
    <row r="207" spans="1:3">
      <c r="A207" s="39"/>
      <c r="B207" s="47" t="s">
        <v>1522</v>
      </c>
      <c r="C207" s="39"/>
    </row>
    <row r="208" spans="1:3">
      <c r="A208" s="39"/>
      <c r="B208" s="48" t="s">
        <v>1485</v>
      </c>
      <c r="C208" s="39"/>
    </row>
    <row r="209" spans="1:3">
      <c r="A209" s="39"/>
      <c r="B209" s="49" t="s">
        <v>1486</v>
      </c>
      <c r="C209" s="39"/>
    </row>
    <row r="210" spans="1:3">
      <c r="A210" s="39"/>
      <c r="B210" s="50" t="s">
        <v>1487</v>
      </c>
      <c r="C210" s="39"/>
    </row>
    <row r="211" spans="1:3">
      <c r="A211" s="39"/>
      <c r="B211" s="49" t="s">
        <v>1488</v>
      </c>
      <c r="C211" s="39"/>
    </row>
    <row r="212" spans="1:3">
      <c r="A212" s="39"/>
      <c r="B212" s="49" t="s">
        <v>1489</v>
      </c>
      <c r="C212" s="39"/>
    </row>
    <row r="213" spans="1:3">
      <c r="A213" s="39"/>
      <c r="B213" s="49" t="s">
        <v>1490</v>
      </c>
      <c r="C213" s="39"/>
    </row>
    <row r="214" spans="1:3">
      <c r="A214" s="39"/>
      <c r="B214" s="49" t="s">
        <v>1491</v>
      </c>
      <c r="C214" s="39"/>
    </row>
    <row r="215" spans="1:3">
      <c r="A215" s="39"/>
      <c r="B215" s="47" t="s">
        <v>1523</v>
      </c>
      <c r="C215" s="39"/>
    </row>
    <row r="216" spans="1:3">
      <c r="A216" s="39"/>
      <c r="B216" s="48" t="s">
        <v>1485</v>
      </c>
      <c r="C216" s="39"/>
    </row>
    <row r="217" spans="1:3">
      <c r="A217" s="39"/>
      <c r="B217" s="49" t="s">
        <v>1486</v>
      </c>
      <c r="C217" s="39"/>
    </row>
    <row r="218" spans="1:3">
      <c r="A218" s="39"/>
      <c r="B218" s="50" t="s">
        <v>1487</v>
      </c>
      <c r="C218" s="39"/>
    </row>
    <row r="219" spans="1:3">
      <c r="A219" s="39"/>
      <c r="B219" s="49" t="s">
        <v>1488</v>
      </c>
      <c r="C219" s="39"/>
    </row>
    <row r="220" spans="1:3">
      <c r="A220" s="39"/>
      <c r="B220" s="49" t="s">
        <v>1489</v>
      </c>
      <c r="C220" s="39"/>
    </row>
    <row r="221" spans="1:3">
      <c r="A221" s="39"/>
      <c r="B221" s="49" t="s">
        <v>1490</v>
      </c>
      <c r="C221" s="39"/>
    </row>
    <row r="222" spans="1:3">
      <c r="A222" s="39"/>
      <c r="B222" s="49" t="s">
        <v>1491</v>
      </c>
      <c r="C222" s="39"/>
    </row>
    <row r="223" spans="1:3">
      <c r="A223" s="39"/>
      <c r="B223" s="39"/>
      <c r="C223" s="39"/>
    </row>
  </sheetData>
  <hyperlinks>
    <hyperlink ref="B1" r:id="rId1" xr:uid="{B12DD5EB-D0FF-BA4C-A5DA-26709A36FCB9}"/>
    <hyperlink ref="B9" location="'Table 1 - Supply 1997'!A1" display="'Table 1 - Supply 1997'!A1" xr:uid="{8F369E90-46F8-2247-ACF3-6F17B40A6087}"/>
    <hyperlink ref="B11" location="'Table 2 - Int Con 1997'!A1" display="'Table 2 - Int Con 1997'!A1" xr:uid="{A6895845-E5CD-7F4E-82D4-3C6EB9008AF7}"/>
    <hyperlink ref="B12" location="'Table 2 - Final Demand 1997'!A1" display="'Table 2 - Final Demand 1997'!A1" xr:uid="{65DC0E08-C47F-5142-903E-55744CBD37E6}"/>
    <hyperlink ref="B13" location="'Table 3 - HHFCe 1997'!A1" display="'Table 3 - HHFCe 1997'!A1" xr:uid="{F0EB9090-D6F8-FE4B-833D-26BE70A3A5C7}"/>
    <hyperlink ref="B14" location="'Table 4 - GFCF 1997'!A1" display="'Table 4 - GFCF 1997'!A1" xr:uid="{5CC9E851-33D9-4B4E-9230-FC2206D62832}"/>
    <hyperlink ref="B17" location="'Table 1 - Supply 1998'!A1" display="'Table 1 - Supply 1998'!A1" xr:uid="{FADA77DD-FCF4-8C47-985A-429FE68806BB}"/>
    <hyperlink ref="B19" location="'Table 2 - Int Con 1998'!A1" display="'Table 2 - Int Con 1998'!A1" xr:uid="{A25C6B0E-65C2-F04B-AED3-99EFF2755387}"/>
    <hyperlink ref="B20" location="'Table 2 - Final Demand 1998'!A1" display="'Table 2 - Final Demand 1998'!A1" xr:uid="{D59E59DD-3697-414F-B15C-2B06AFD56F75}"/>
    <hyperlink ref="B21" location="'Table 3 - HHFCe 1998'!A1" display="'Table 3 - HHFCe 1998'!A1" xr:uid="{CDEA7E41-80DB-5842-A087-2C8340E2DDC6}"/>
    <hyperlink ref="B22" location="'Table 4 - GFCF 1998'!A1" display="'Table 4 - GFCF 1998'!A1" xr:uid="{3BC201FD-5EB5-FB40-AFDF-4DCFD7C45237}"/>
    <hyperlink ref="B25" location="'Table 1 - Supply 1999'!A1" display="'Table 1 - Supply 1999'!A1" xr:uid="{B5C6EB18-65D0-2140-AE6D-A9EB36635E25}"/>
    <hyperlink ref="B27" location="'Table 2 - Int Con 1999'!A1" display="'Table 2 - Int Con 1999'!A1" xr:uid="{DEADE416-DF26-2B46-9260-679BBB2649FB}"/>
    <hyperlink ref="B28" location="'Table 2 - Final Demand 1999'!A1" display="'Table 2 - Final Demand 1999'!A1" xr:uid="{552F46E2-CCC0-CA41-955B-E70435B2BF1C}"/>
    <hyperlink ref="B29" location="'Table 3 - HHFCe 1999'!A1" display="'Table 3 - HHFCe 1999'!A1" xr:uid="{FF583B8F-C634-AC41-8A28-BA6154D925D2}"/>
    <hyperlink ref="B30" location="'Table 4 - GFCF 1999'!A1" display="'Table 4 - GFCF 1999'!A1" xr:uid="{D35F2C07-F17F-8B48-A321-AE061F72213E}"/>
    <hyperlink ref="B33" location="'Table 1 - Supply 2000'!A1" display="'Table 1 - Supply 2000'!A1" xr:uid="{B5C1DB60-807E-1C4F-B478-7861309C202D}"/>
    <hyperlink ref="B35" location="'Table 2 - Int Con 2000'!A1" display="'Table 2 - Int Con 2000'!A1" xr:uid="{B3428060-DCB3-1840-9FEE-9C2A6C4961F7}"/>
    <hyperlink ref="B36" location="'Table 2 - Final Demand 2000'!A1" display="'Table 2 - Final Demand 2000'!A1" xr:uid="{C610D2F2-E6DF-7545-9EDC-72835EAFF23C}"/>
    <hyperlink ref="B37" location="'Table 3 - HHFCe 2000'!A1" display="'Table 3 - HHFCe 2000'!A1" xr:uid="{7957F3F8-86DD-7B42-AF5E-7F0585018AD5}"/>
    <hyperlink ref="B38" location="'Table 4 - GFCF 2000'!A1" display="'Table 4 - GFCF 2000'!A1" xr:uid="{649F730F-1F51-6F4C-96E7-BC973BFFB89B}"/>
    <hyperlink ref="B41" location="'Table 1 - Supply 2001'!A1" display="'Table 1 - Supply 2001'!A1" xr:uid="{E4B0D184-DAD4-4640-BF23-3DB791E69A13}"/>
    <hyperlink ref="B43" location="'Table 2 - Int Con 2001'!A1" display="'Table 2 - Int Con 2001'!A1" xr:uid="{A94DFB82-BDB6-9846-B40C-0D83BB818EA7}"/>
    <hyperlink ref="B44" location="'Table 2 - Final Demand 2001'!A1" display="'Table 2 - Final Demand 2001'!A1" xr:uid="{409DF64A-3F9C-A446-9901-9CA768A6066C}"/>
    <hyperlink ref="B45" location="'Table 3 - HHFCe 2001'!A1" display="'Table 3 - HHFCe 2001'!A1" xr:uid="{3FB4A59B-EAA7-BC46-8968-60AE5E6925A5}"/>
    <hyperlink ref="B46" location="'Table 4 - GFCF 2001'!A1" display="'Table 4 - GFCF 2001'!A1" xr:uid="{F19F5241-BB2F-494F-B942-91822188044D}"/>
    <hyperlink ref="B49" location="'Table 1 - Supply 2002'!A1" display="'Table 1 - Supply 2002'!A1" xr:uid="{A781CF0B-EEAA-A04B-955A-6D51A98BC51C}"/>
    <hyperlink ref="B51" location="'Table 2 - Int Con 2002'!A1" display="'Table 2 - Int Con 2002'!A1" xr:uid="{39535D19-AFE4-1240-87B4-25722817F77E}"/>
    <hyperlink ref="B52" location="'Table 2 - Final Demand 2002'!A1" display="'Table 2 - Final Demand 2002'!A1" xr:uid="{6D62DC2E-4BAF-9F48-B9CA-4D3D809BB709}"/>
    <hyperlink ref="B53" location="'Table 3 - HHFCe 2002'!A1" display="'Table 3 - HHFCe 2002'!A1" xr:uid="{7BC7EEDF-6542-294B-B42C-48EC3B0B463A}"/>
    <hyperlink ref="B54" location="'Table 4 - GFCF 2002'!A1" display="'Table 4 - GFCF 2002'!A1" xr:uid="{0733DE26-63D2-184C-8D3E-80CCA2D380A4}"/>
    <hyperlink ref="B57" location="'Table 1 - Supply 2003'!A1" display="'Table 1 - Supply 2003'!A1" xr:uid="{92D3280F-4E08-2748-92CF-647B62F48A4B}"/>
    <hyperlink ref="B59" location="'Table 2 - Int Con 2003'!A1" display="'Table 2 - Int Con 2003'!A1" xr:uid="{C02625FA-CE6F-6B49-8661-FCC499228211}"/>
    <hyperlink ref="B60" location="'Table 2 - Final Demand 2003'!A1" display="'Table 2 - Final Demand 2003'!A1" xr:uid="{560CC712-EC46-5141-8A94-58BDD95C21AE}"/>
    <hyperlink ref="B61" location="'Table 3 - HHFCe 2003'!A1" display="'Table 3 - HHFCe 2003'!A1" xr:uid="{A3602276-184B-3149-8AD4-58B94B718CD0}"/>
    <hyperlink ref="B62" location="'Table 4 - GFCF 2003'!A1" display="'Table 4 - GFCF 2003'!A1" xr:uid="{BC21F839-2873-064A-803F-1FF90D5CD1A4}"/>
    <hyperlink ref="B65" location="'Table 1 - Supply 2004'!A1" display="'Table 1 - Supply 2004'!A1" xr:uid="{9F310EE6-C9C5-0F4E-80B7-6C16467A8884}"/>
    <hyperlink ref="B67" location="'Table 2 - Int Con 2004'!A1" display="'Table 2 - Int Con 2004'!A1" xr:uid="{18C692F1-142D-0E45-AF4E-08325AA35F49}"/>
    <hyperlink ref="B68" location="'Table 2 - Final Demand 2004'!A1" display="'Table 2 - Final Demand 2004'!A1" xr:uid="{793AD65F-24E8-844D-AE41-78A0530EAF5B}"/>
    <hyperlink ref="B69" location="'Table 3 - HHFCe 2004'!A1" display="'Table 3 - HHFCe 2004'!A1" xr:uid="{7F2D91BC-F4CC-2A49-A311-6DAF6818F4EA}"/>
    <hyperlink ref="B70" location="'Table 4 - GFCF 2004'!A1" display="'Table 4 - GFCF 2004'!A1" xr:uid="{9C528462-7333-D448-A82A-65E0934B80AB}"/>
    <hyperlink ref="B73" location="'Table 1 - Supply 2005'!A1" display="'Table 1 - Supply 2005'!A1" xr:uid="{6CD0C4A9-85FD-9148-BF9F-3FF424F05782}"/>
    <hyperlink ref="B75" location="'Table 2 - Int Con 2005'!A1" display="'Table 2 - Int Con 2005'!A1" xr:uid="{DD6751C1-D1D0-9F46-B2EA-16CE6D91EEFE}"/>
    <hyperlink ref="B76" location="'Table 2 - Final Demand 2005'!A1" display="'Table 2 - Final Demand 2005'!A1" xr:uid="{34708BAD-3BA9-0F40-B75E-BEDC9C7202F9}"/>
    <hyperlink ref="B77" location="'Table 3 - HHFCe 2005'!A1" display="'Table 3 - HHFCe 2005'!A1" xr:uid="{B3EC609F-2DB4-3E43-B334-F7D923507861}"/>
    <hyperlink ref="B78" location="'Table 4 - GFCF 2005'!A1" display="'Table 4 - GFCF 2005'!A1" xr:uid="{B43AD219-0AC1-B545-987F-0812E78758AA}"/>
    <hyperlink ref="B81" location="'Table 1 - Supply 2006'!A1" display="'Table 1 - Supply 2006'!A1" xr:uid="{9CA5AEFF-B98D-8646-A0D3-C14E8335092B}"/>
    <hyperlink ref="B83" location="'Table 2 - Int Con 2006'!A1" display="'Table 2 - Int Con 2006'!A1" xr:uid="{109F49ED-0594-AA44-8471-07C1E9F6DD84}"/>
    <hyperlink ref="B84" location="'Table 2 - Final Demand 2006'!A1" display="'Table 2 - Final Demand 2006'!A1" xr:uid="{5F6C167D-BDCD-7340-980A-339C7A2D6D9C}"/>
    <hyperlink ref="B85" location="'Table 3 - HHFCe 2006'!A1" display="'Table 3 - HHFCe 2006'!A1" xr:uid="{A477F9D1-0F8D-454E-91E7-39B59F428D10}"/>
    <hyperlink ref="B86" location="'Table 4 - GFCF 2006'!A1" display="'Table 4 - GFCF 2006'!A1" xr:uid="{19CCAC8E-7AA0-9642-92BB-B3D502DCDC48}"/>
    <hyperlink ref="B89" location="'Table 1 - Supply 2007'!A1" display="'Table 1 - Supply 2007'!A1" xr:uid="{011348E0-A4B1-AD49-88E6-CC8F36A28EDD}"/>
    <hyperlink ref="B91" location="'Table 2 - Int Con 2007'!A1" display="'Table 2 - Int Con 2007'!A1" xr:uid="{79250E3E-9B53-9B40-A73A-95041773E565}"/>
    <hyperlink ref="B92" location="'Table 2 - Final Demand 2007'!A1" display="'Table 2 - Final Demand 2007'!A1" xr:uid="{B4120B54-867D-1C45-8C69-4C1641F15344}"/>
    <hyperlink ref="B93" location="'Table 3 - HHFCe 2007'!A1" display="'Table 3 - HHFCe 2007'!A1" xr:uid="{D4245F89-4765-2843-B9FF-D07643515463}"/>
    <hyperlink ref="B94" location="'Table 4 - GFCF 2007'!A1" display="'Table 4 - GFCF 2007'!A1" xr:uid="{E8E80FD3-658E-7241-8563-57669F60C1C3}"/>
    <hyperlink ref="B97" location="'Table 1 - Supply 2008'!A1" display="'Table 1 - Supply 2008'!A1" xr:uid="{8B5634CE-9787-D444-90E3-51BD5DE35B50}"/>
    <hyperlink ref="B99" location="'Table 2 - Int Con 2008'!A1" display="'Table 2 - Int Con 2008'!A1" xr:uid="{DF72C68F-CD47-D744-A6D9-42315C41408E}"/>
    <hyperlink ref="B100" location="'Table 2 - Final Demand 2008'!A1" display="'Table 2 - Final Demand 2008'!A1" xr:uid="{7C7A3233-476E-8541-864E-D92DC63E8F7A}"/>
    <hyperlink ref="B101" location="'Table 3 - HHFCe 2008'!A1" display="'Table 3 - HHFCe 2008'!A1" xr:uid="{FF7D994B-786B-B445-9FCA-B274BBE15380}"/>
    <hyperlink ref="B102" location="'Table 4 - GFCF 2008'!A1" display="'Table 4 - GFCF 2008'!A1" xr:uid="{42B96604-8F5F-0949-8230-33F8AD19A57E}"/>
    <hyperlink ref="B105" location="'Table 1 - Supply 2009'!A1" display="'Table 1 - Supply 2009'!A1" xr:uid="{97A70EE1-9685-AC46-8A0F-E0FEDE64F443}"/>
    <hyperlink ref="B107" location="'Table 2 - Int Con 2009'!A1" display="'Table 2 - Int Con 2009'!A1" xr:uid="{3975B1E0-C3BC-254E-88B8-50B169DE9F81}"/>
    <hyperlink ref="B108" location="'Table 2 - Final Demand 2009'!A1" display="'Table 2 - Final Demand 2009'!A1" xr:uid="{B5DB8296-D166-3748-9006-67FF2CA558A7}"/>
    <hyperlink ref="B109" location="'Table 3 - HHFCe 2009'!A1" display="'Table 3 - HHFCe 2009'!A1" xr:uid="{D34C18DD-BF34-874C-B5A6-98AAD9C8F221}"/>
    <hyperlink ref="B110" location="'Table 4 - GFCF 2009'!A1" display="'Table 4 - GFCF 2009'!A1" xr:uid="{DEF25DDC-B024-2E48-93A2-F51FBA840F4B}"/>
    <hyperlink ref="B113" location="'Table 1 - Supply 2010'!A1" display="'Table 1 - Supply 2010'!A1" xr:uid="{7BC95388-6A9B-0F41-8249-2F3ACB3F5495}"/>
    <hyperlink ref="B115" location="'Table 2 - Int Con 2010'!A1" display="'Table 2 - Int Con 2010'!A1" xr:uid="{3F5A7F82-B6EA-2046-B898-317F846AC466}"/>
    <hyperlink ref="B116" location="'Table 2 - Final Demand 2010'!A1" display="'Table 2 - Final Demand 2010'!A1" xr:uid="{04FE2A77-E913-0D4D-93DC-670A5E933944}"/>
    <hyperlink ref="B117" location="'Table 3 - HHFCe 2010'!A1" display="'Table 3 - HHFCe 2010'!A1" xr:uid="{74FBC3BA-EA66-2B4F-B250-9A6EFB628071}"/>
    <hyperlink ref="B118" location="'Table 4 - GFCF 2010'!A1" display="'Table 4 - GFCF 2010'!A1" xr:uid="{8B41B016-0A4C-F24B-B9E8-AB6E5C73D8AF}"/>
    <hyperlink ref="B121" location="'Table 1 - Supply 2011'!A1" display="'Table 1 - Supply 2011'!A1" xr:uid="{A97A6BF2-912F-C646-8179-BC743A196A05}"/>
    <hyperlink ref="B123" location="'Table 2 - Int Con 2011'!A1" display="'Table 2 - Int Con 2011'!A1" xr:uid="{00E27783-80B4-A743-BB7C-B885DB1601A5}"/>
    <hyperlink ref="B124" location="'Table 2 - Final Demand 2011'!A1" display="'Table 2 - Final Demand 2011'!A1" xr:uid="{0E7468AF-71BF-EE46-BD06-8B2911866209}"/>
    <hyperlink ref="B125" location="'Table 3 - HHFCe 2011'!A1" display="'Table 3 - HHFCe 2011'!A1" xr:uid="{671C2D51-F3DF-FA48-B1B1-87EB3200A375}"/>
    <hyperlink ref="B126" location="'Table 4 - GFCF 2011'!A1" display="'Table 4 - GFCF 2011'!A1" xr:uid="{891D2720-D8F2-5747-B9F7-C24C2AF18F79}"/>
    <hyperlink ref="B129" location="'Table 1 - Supply 2012'!A1" display="'Table 1 - Supply 2012'!A1" xr:uid="{98C5EA6A-23E6-4A4A-8AB9-91467C212394}"/>
    <hyperlink ref="B131" location="'Table 2 - Int Con 2012'!A1" display="'Table 2 - Int Con 2012'!A1" xr:uid="{33A70995-554D-CE4E-A7B7-D3BADE72A809}"/>
    <hyperlink ref="B132" location="'Table 2 - Final Demand 2012'!A1" display="'Table 2 - Final Demand 2012'!A1" xr:uid="{FC4732B0-D46C-4A4E-8508-09CAF7B03A0A}"/>
    <hyperlink ref="B133" location="'Table 3 - HHFCe 2012'!A1" display="'Table 3 - HHFCe 2012'!A1" xr:uid="{7B5F3AEB-D535-634B-A5C4-7BF956CF73BA}"/>
    <hyperlink ref="B134" location="'Table 4 - GFCF 2012'!A1" display="'Table 4 - GFCF 2012'!A1" xr:uid="{EEA3CA8D-1C80-684A-9B76-754C6AB45F18}"/>
    <hyperlink ref="B137" location="'Table 1 - Supply 2013'!A1" display="'Table 1 - Supply 2013'!A1" xr:uid="{19694416-402B-054C-976F-888C9A87AC56}"/>
    <hyperlink ref="B139" location="'Table 2 - Int Con 2013'!A1" display="'Table 2 - Int Con 2013'!A1" xr:uid="{D745715E-9B9F-2D47-A913-C40796CE66EE}"/>
    <hyperlink ref="B140" location="'Table 2 - Final Demand 2013'!A1" display="'Table 2 - Final Demand 2013'!A1" xr:uid="{7EB342A7-7B93-754F-81F3-CB7733097C69}"/>
    <hyperlink ref="B141" location="'Table 3 - HHFCe 2013'!A1" display="'Table 3 - HHFCe 2013'!A1" xr:uid="{2AC49231-4C51-A743-AF73-8BE75DF11C03}"/>
    <hyperlink ref="B142" location="'Table 4 - GFCF 2013'!A1" display="'Table 4 - GFCF 2013'!A1" xr:uid="{C258C266-D219-4347-B927-663DA5C64E47}"/>
    <hyperlink ref="B145" location="'Table 1 - Supply 2014'!A1" display="'Table 1 - Supply 2014'!A1" xr:uid="{CA069018-AE9C-124B-8C8F-9C55780F1A62}"/>
    <hyperlink ref="B147" location="'Table 2 - Int Con 2014'!A1" display="'Table 2 - Int Con 2014'!A1" xr:uid="{4C050A16-30A7-2F47-9E59-2DA5A255E7D5}"/>
    <hyperlink ref="B148" location="'Table 2 - Final Demand 2014'!A1" display="'Table 2 - Final Demand 2014'!A1" xr:uid="{0020F915-6BBD-1043-91B7-56AD3712A7A6}"/>
    <hyperlink ref="B149" location="'Table 3 - HHFCe 2014'!A1" display="'Table 3 - HHFCe 2014'!A1" xr:uid="{6F2D65B1-0DF8-FE45-9033-C5858CD99EB4}"/>
    <hyperlink ref="B150" location="'Table 4 - GFCF 2014'!A1" display="'Table 4 - GFCF 2014'!A1" xr:uid="{20563A00-D478-7545-A956-FFF2C251E265}"/>
    <hyperlink ref="B153" location="'Table 1 - Supply 2015'!A1" display="'Table 1 - Supply 2015'!A1" xr:uid="{EDAFAE74-5DE6-B640-8385-FA1A91AA451E}"/>
    <hyperlink ref="B155" location="'Table 2 - Int Con 2015'!A1" display="'Table 2 - Int Con 2015'!A1" xr:uid="{376C288D-1F30-0D4F-8F5A-6E1EF3BED2AE}"/>
    <hyperlink ref="B156" location="'Table 2 - Final Demand 2015'!A1" display="'Table 2 - Final Demand 2015'!A1" xr:uid="{1C5F381E-6D92-CF4D-9682-D3302EA61D9B}"/>
    <hyperlink ref="B157" location="'Table 3 - HHFCe 2015'!A1" display="'Table 3 - HHFCe 2015'!A1" xr:uid="{31E7D67F-699D-CB48-BB34-8639C6FA733E}"/>
    <hyperlink ref="B158" location="'Table 4 - GFCF 2015'!A1" display="'Table 4 - GFCF 2015'!A1" xr:uid="{07536CDF-173E-FF4B-AFEC-A30BD7909437}"/>
    <hyperlink ref="B161" location="'Table 1 - Supply 2016'!A1" display="'Table 1 - Supply 2016'!A1" xr:uid="{DEC88BF7-7CE1-A047-8A83-F70EB3AF2528}"/>
    <hyperlink ref="B163" location="'Table 2 - Int Con 2016'!A1" display="'Table 2 - Int Con 2016'!A1" xr:uid="{53ADB8B0-2498-8C44-AA83-F6103E137575}"/>
    <hyperlink ref="B164" location="'Table 2 - Final Demand 2016'!A1" display="'Table 2 - Final Demand 2016'!A1" xr:uid="{8396D112-B639-5244-8CD5-063F6E7F6AE0}"/>
    <hyperlink ref="B165" location="'Table 3 - HHFCe 2016'!A1" display="'Table 3 - HHFCe 2016'!A1" xr:uid="{B4EE8B7E-C5E0-794F-949E-D5C0F3E960C6}"/>
    <hyperlink ref="B166" location="'Table 4 - GFCF 2016'!A1" display="'Table 4 - GFCF 2016'!A1" xr:uid="{E60839E9-3518-AA45-A699-126ECC8AE8C2}"/>
    <hyperlink ref="B169" location="'Table 1 - Supply 2017'!A1" display="'Table 1 - Supply 2017'!A1" xr:uid="{AA0FB35D-B6CA-D140-BB61-B3774B51DD14}"/>
    <hyperlink ref="B171" location="'Table 2 - Int Con 2017'!A1" display="'Table 2 - Int Con 2017'!A1" xr:uid="{52B37EEA-117F-9248-8A2B-1A6E6BA928A0}"/>
    <hyperlink ref="B172" location="'Table 2 - Final Demand 2017'!A1" display="'Table 2 - Final Demand 2017'!A1" xr:uid="{057A183A-FC8E-D14B-8E70-06E430D4F7BB}"/>
    <hyperlink ref="B173" location="'Table 3 - HHFCe 2017'!A1" display="'Table 3 - HHFCe 2017'!A1" xr:uid="{EFC2958D-041A-9C46-9E75-03D7C5DC9019}"/>
    <hyperlink ref="B174" location="'Table 4 - GFCF 2017'!A1" display="'Table 4 - GFCF 2017'!A1" xr:uid="{0B8121F9-CC09-CE49-B305-823509108BC8}"/>
    <hyperlink ref="B177" location="'Table 1 - Supply 2018'!A1" display="'Table 1 - Supply 2018'!A1" xr:uid="{7B332C5E-F682-034B-921F-AAB891D40915}"/>
    <hyperlink ref="B179" location="'Table 2 - Int Con 2018'!A1" display="'Table 2 - Int Con 2018'!A1" xr:uid="{10D1108B-C44C-BC4F-999F-D8EA71819FA8}"/>
    <hyperlink ref="B180" location="'Table 2 - Final Demand 2018'!A1" display="'Table 2 - Final Demand 2018'!A1" xr:uid="{D99D1F34-E27C-434D-8706-934F7019B82E}"/>
    <hyperlink ref="B181" location="'Table 3 - HHFCe 2018'!A1" display="'Table 3 - HHFCe 2018'!A1" xr:uid="{33E31876-CA69-AD42-9A78-D6498ACC7C8C}"/>
    <hyperlink ref="B182" location="'Table 4 - GFCF 2018'!A1" display="'Table 4 - GFCF 2018'!A1" xr:uid="{99F95DF4-AB59-5A49-96C2-2D62948CE4AE}"/>
    <hyperlink ref="B185" location="'Table 1 - Supply 2019'!A1" display="'Table 1 - Supply 2019'!A1" xr:uid="{744D1AF4-4512-E846-A0DE-3BC6497AD75C}"/>
    <hyperlink ref="B187" location="'Table 2 - Int Con 2019'!A1" display="'Table 2 - Int Con 2019'!A1" xr:uid="{DBDA0D61-9630-604F-8519-9F3F963D5D72}"/>
    <hyperlink ref="B188" location="'Table 2 - Final Demand 2019'!A1" display="'Table 2 - Final Demand 2019'!A1" xr:uid="{40C09926-293A-CD44-B7F8-7E5BAA475A70}"/>
    <hyperlink ref="B189" location="'Table 3 - HHFCe 2019'!A1" display="'Table 3 - HHFCe 2019'!A1" xr:uid="{B87B30E2-0D9B-6D40-95F6-568A99CD925F}"/>
    <hyperlink ref="B190" location="'Table 4 - GFCF 2019'!A1" display="'Table 4 - GFCF 2019'!A1" xr:uid="{98350ADB-D893-1C4A-AE8F-55C1747CE17F}"/>
    <hyperlink ref="B193" location="'Table 1 - Supply 2020'!A1" display="'Table 1 - Supply 2020'!A1" xr:uid="{88285B66-BEBD-9F42-9000-C13732275ED7}"/>
    <hyperlink ref="B195" location="'Table 2 - Int Con 2020'!A1" display="'Table 2 - Int Con 2020'!A1" xr:uid="{29AE3C78-9D47-0646-888E-C35C726CFB87}"/>
    <hyperlink ref="B196" location="'Table 2 - Final Demand 2020'!A1" display="'Table 2 - Final Demand 2020'!A1" xr:uid="{D2A054AB-153A-EF47-A70A-C73A0109B3AC}"/>
    <hyperlink ref="B197" location="'Table 3 - HHFCe 2020'!A1" display="'Table 3 - HHFCe 2020'!A1" xr:uid="{03CAC382-ABC4-DF48-9B84-578AFE4FF75F}"/>
    <hyperlink ref="B198" location="'Table 4 - GFCF 2020'!A1" display="'Table 4 - GFCF 2020'!A1" xr:uid="{04D43445-DF60-5746-8967-1B28CF358796}"/>
    <hyperlink ref="B201" location="'Table 1 - Supply 2021'!A1" display="'Table 1 - Supply 2021'!A1" xr:uid="{85B7089B-F1C8-5E4C-ACA3-61B35190C401}"/>
    <hyperlink ref="B203" location="'Table 2 - Int Con 2021'!A1" display="'Table 2 - Int Con 2021'!A1" xr:uid="{640557BD-8A5F-0240-AC01-31CB973D2035}"/>
    <hyperlink ref="B204" location="'Table 2 - Final Demand 2021'!A1" display="'Table 2 - Final Demand 2021'!A1" xr:uid="{919F4353-3EBA-CC4E-A1A5-C642168288F7}"/>
    <hyperlink ref="B205" location="'Table 3 - HHFCe 2021'!A1" display="'Table 3 - HHFCe 2021'!A1" xr:uid="{AE641361-F2C5-4E49-8DF0-08983ED7006F}"/>
    <hyperlink ref="B206" location="'Table 4 - GFCF 2021'!A1" display="'Table 4 - GFCF 2021'!A1" xr:uid="{BFB61B37-202D-4C49-BB9D-B77D780FE56C}"/>
    <hyperlink ref="B209" location="'Table 1 - Supply 2022'!A1" display="'Table 1 - Supply 2022'!A1" xr:uid="{6870B66C-03DE-1C4B-B46B-5B96235B6A43}"/>
    <hyperlink ref="B211" location="'Table 2 - Int Con 2022'!A1" display="'Table 2 - Int Con 2022'!A1" xr:uid="{6C12E667-BD89-8647-A1BD-7957D30D4580}"/>
    <hyperlink ref="B212" location="'Table 2 - Final Demand 2022'!A1" display="'Table 2 - Final Demand 2022'!A1" xr:uid="{698A2121-7DED-404F-B5E8-D2993B2A269A}"/>
    <hyperlink ref="B213" location="'Table 3 - HHFCe 2022'!A1" display="'Table 3 - HHFCe 2022'!A1" xr:uid="{99088527-D0AB-5E48-8D09-6C444FA88FFE}"/>
    <hyperlink ref="B214" location="'Table 4 - GFCF 2022'!A1" display="'Table 4 - GFCF 2022'!A1" xr:uid="{C8E4CA8D-6149-274A-82EA-1426C3334E35}"/>
    <hyperlink ref="B217" location="'Table 1 - Supply 2023'!A1" display="'Table 1 - Supply 2023'!A1" xr:uid="{A472A06B-CE7B-AF44-A4C6-8144C9BE6C7F}"/>
    <hyperlink ref="B219" location="'Table 2 - Int Con 2023'!A1" display="'Table 2 - Int Con 2023'!A1" xr:uid="{49445E0A-E59C-5541-AAFF-9421F5695A4A}"/>
    <hyperlink ref="B220" location="'Table 2 - Final Demand 2023'!A1" display="'Table 2 - Final Demand 2023'!A1" xr:uid="{F1F45981-7794-0440-A67D-54CBC9D44EE1}"/>
    <hyperlink ref="B221" location="'Table 3 - HHFCe 2023'!A1" display="'Table 3 - HHFCe 2023'!A1" xr:uid="{92C4999F-2571-424D-8EC2-61BE8752D5BC}"/>
    <hyperlink ref="B222" location="'Table 4 - GFCF 2023'!A1" display="'Table 4 - GFCF 2023'!A1" xr:uid="{B66B2B02-0346-6F44-B801-0FB4001EA5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2 - Int Con 2023</vt:lpstr>
      <vt:lpstr>Supply use table Original</vt:lpstr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>Saurabh Kumar</cp:lastModifiedBy>
  <dcterms:created xsi:type="dcterms:W3CDTF">2026-02-09T14:03:48Z</dcterms:created>
  <dcterms:modified xsi:type="dcterms:W3CDTF">2026-02-09T19:14:33Z</dcterms:modified>
</cp:coreProperties>
</file>